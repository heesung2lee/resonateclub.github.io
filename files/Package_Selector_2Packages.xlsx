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ckage Selector" sheetId="1" state="visible" r:id="rId1"/>
    <sheet xmlns:r="http://schemas.openxmlformats.org/officeDocument/2006/relationships" name="Master Data" sheetId="2" state="visible" r:id="rId2"/>
    <sheet xmlns:r="http://schemas.openxmlformats.org/officeDocument/2006/relationships" name="Package Summary" sheetId="3" state="visible" r:id="rId3"/>
  </sheets>
  <definedNames>
    <definedName name="_xlnm._FilterDatabase" localSheetId="1" hidden="1">'Master Data'!$A$4:$E$26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25">
    <font>
      <name val="Calibri"/>
      <family val="2"/>
      <color theme="1"/>
      <sz val="11"/>
      <scheme val="minor"/>
    </font>
    <font>
      <name val="Calibri"/>
      <b val="1"/>
      <color rgb="001a3450"/>
      <sz val="16"/>
    </font>
    <font>
      <name val="Calibri"/>
      <color rgb="00555555"/>
      <sz val="12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a3450"/>
      <sz val="14"/>
    </font>
    <font>
      <name val="Calibri"/>
      <i val="1"/>
      <sz val="10"/>
    </font>
    <font>
      <name val="Calibri"/>
      <color rgb="00d4af37"/>
      <sz val="11"/>
    </font>
    <font>
      <name val="Calibri"/>
      <b val="1"/>
      <sz val="11"/>
    </font>
    <font>
      <name val="Calibri"/>
      <b val="1"/>
      <color rgb="00d4af37"/>
      <sz val="11"/>
    </font>
    <font>
      <name val="Calibri"/>
      <b val="1"/>
      <color rgb="00FFFFFF"/>
      <sz val="13"/>
    </font>
    <font>
      <name val="Calibri"/>
      <b val="1"/>
      <color rgb="00d4af37"/>
      <sz val="13"/>
    </font>
    <font>
      <name val="Calibri"/>
      <b val="1"/>
      <color rgb="001a3450"/>
      <sz val="15"/>
    </font>
    <font>
      <name val="Calibri"/>
      <b val="1"/>
      <color rgb="00FFFFFF"/>
      <sz val="14"/>
    </font>
    <font>
      <b val="1"/>
      <color rgb="001a3450"/>
      <sz val="14"/>
    </font>
    <font>
      <i val="1"/>
      <color rgb="00666666"/>
      <sz val="9"/>
    </font>
    <font>
      <b val="1"/>
      <color rgb="001a3450"/>
      <sz val="13"/>
    </font>
    <font>
      <b val="1"/>
      <color rgb="00ffffff"/>
      <sz val="10"/>
    </font>
    <font>
      <b val="1"/>
      <color rgb="001a3450"/>
      <sz val="11"/>
    </font>
    <font>
      <color rgb="00888888"/>
      <sz val="9"/>
    </font>
    <font>
      <b val="1"/>
      <sz val="11"/>
    </font>
    <font>
      <b val="1"/>
      <color rgb="001a3450"/>
      <sz val="12"/>
    </font>
    <font>
      <b val="1"/>
      <sz val="12"/>
    </font>
    <font>
      <i val="1"/>
      <sz val="10"/>
    </font>
  </fonts>
  <fills count="8">
    <fill>
      <patternFill/>
    </fill>
    <fill>
      <patternFill patternType="gray125"/>
    </fill>
    <fill>
      <patternFill patternType="solid">
        <fgColor rgb="001a3450"/>
        <bgColor rgb="001a3450"/>
      </patternFill>
    </fill>
    <fill>
      <patternFill patternType="solid">
        <fgColor rgb="002c5282"/>
        <bgColor rgb="002c5282"/>
      </patternFill>
    </fill>
    <fill>
      <patternFill patternType="solid">
        <fgColor rgb="00f5f5f5"/>
        <bgColor rgb="00f5f5f5"/>
      </patternFill>
    </fill>
    <fill>
      <patternFill patternType="solid">
        <fgColor rgb="00fef9e7"/>
        <bgColor rgb="00fef9e7"/>
      </patternFill>
    </fill>
    <fill>
      <patternFill patternType="solid">
        <fgColor rgb="00d4af37"/>
        <bgColor rgb="00d4af37"/>
      </patternFill>
    </fill>
    <fill>
      <patternFill patternType="solid">
        <fgColor rgb="00f5f0e8"/>
        <bgColor rgb="00f5f0e8"/>
      </patternFill>
    </fill>
  </fills>
  <borders count="5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bottom style="thin">
        <color rgb="00d4af37"/>
      </bottom>
    </border>
    <border>
      <left/>
      <right/>
      <top/>
      <bottom style="thin">
        <color rgb="00d4af37"/>
      </bottom>
      <diagonal/>
    </border>
    <border>
      <right/>
      <bottom style="thin">
        <color rgb="00d4af37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164" fontId="12" fillId="2" borderId="0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14" fillId="6" borderId="0" applyAlignment="1" pivotButton="0" quotePrefix="0" xfId="0">
      <alignment horizontal="left" vertical="center" wrapText="1"/>
    </xf>
    <xf numFmtId="164" fontId="6" fillId="6" borderId="0" applyAlignment="1" pivotButton="0" quotePrefix="0" xfId="0">
      <alignment horizontal="right" vertical="center"/>
    </xf>
    <xf numFmtId="0" fontId="6" fillId="6" borderId="0" applyAlignment="1" pivotButton="0" quotePrefix="0" xfId="0">
      <alignment horizontal="center" vertical="center" wrapText="1"/>
    </xf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2" borderId="0" pivotButton="0" quotePrefix="0" xfId="0"/>
    <xf numFmtId="0" fontId="19" fillId="0" borderId="2" pivotButton="0" quotePrefix="0" xfId="0"/>
    <xf numFmtId="0" fontId="20" fillId="0" borderId="0" pivotButton="0" quotePrefix="0" xfId="0"/>
    <xf numFmtId="164" fontId="0" fillId="0" borderId="0" pivotButton="0" quotePrefix="0" xfId="0"/>
    <xf numFmtId="0" fontId="21" fillId="7" borderId="0" pivotButton="0" quotePrefix="0" xfId="0"/>
    <xf numFmtId="164" fontId="21" fillId="7" borderId="0" pivotButton="0" quotePrefix="0" xfId="0"/>
    <xf numFmtId="0" fontId="22" fillId="0" borderId="0" pivotButton="0" quotePrefix="0" xfId="0"/>
    <xf numFmtId="164" fontId="23" fillId="0" borderId="0" pivotButton="0" quotePrefix="0" xfId="0"/>
    <xf numFmtId="0" fontId="24" fillId="0" borderId="0" pivotButton="0" quotePrefix="0" xfId="0"/>
    <xf numFmtId="0" fontId="19" fillId="0" borderId="0" pivotButton="0" quotePrefix="0" xfId="0"/>
    <xf numFmtId="165" fontId="0" fillId="0" borderId="0" pivotButton="0" quotePrefix="0" xfId="0"/>
    <xf numFmtId="0" fontId="21" fillId="0" borderId="0" pivotButton="0" quotePrefix="0" xfId="0"/>
    <xf numFmtId="164" fontId="21" fillId="0" borderId="0" pivotButton="0" quotePrefix="0" xfId="0"/>
    <xf numFmtId="165" fontId="21" fillId="0" borderId="0" pivotButton="0" quotePrefix="0" xfId="0"/>
    <xf numFmtId="0" fontId="0" fillId="0" borderId="3" pivotButton="0" quotePrefix="0" xfId="0"/>
    <xf numFmtId="0" fontId="19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" customWidth="1" min="3" max="3"/>
    <col width="12" customWidth="1" min="4" max="4"/>
    <col width="12" customWidth="1" min="5" max="5"/>
    <col width="4" customWidth="1" min="6" max="6"/>
    <col width="14" customWidth="1" min="7" max="7"/>
    <col width="32" customWidth="1" min="8" max="8"/>
    <col width="6" customWidth="1" min="9" max="9"/>
    <col width="12" customWidth="1" min="10" max="10"/>
    <col width="12" customWidth="1" min="11" max="11"/>
  </cols>
  <sheetData>
    <row r="1">
      <c r="A1" s="34" t="inlineStr">
        <is>
          <t>PACKAGE SELECTOR — Per-Person Pricing Comparison</t>
        </is>
      </c>
    </row>
    <row r="2">
      <c r="A2" s="35" t="inlineStr">
        <is>
          <t>All prices in USD | 40% markup applied | Select items from dropdowns</t>
        </is>
      </c>
    </row>
    <row r="4">
      <c r="A4" s="36" t="inlineStr">
        <is>
          <t>PACKAGE A: 트럼프 프리미어 (Trump Premier)</t>
        </is>
      </c>
      <c r="G4" s="36" t="inlineStr">
        <is>
          <t>PACKAGE B: 트럼프 엘리트 (Trump Elite)</t>
        </is>
      </c>
    </row>
    <row r="5">
      <c r="A5" t="inlineStr">
        <is>
          <t>Duration (days):</t>
        </is>
      </c>
      <c r="B5" t="n">
        <v>7</v>
      </c>
      <c r="G5" t="inlineStr">
        <is>
          <t>Duration (days):</t>
        </is>
      </c>
      <c r="H5" t="n">
        <v>6</v>
      </c>
    </row>
    <row r="6">
      <c r="A6" s="37" t="inlineStr">
        <is>
          <t>Category</t>
        </is>
      </c>
      <c r="B6" s="37" t="inlineStr">
        <is>
          <t>Item</t>
        </is>
      </c>
      <c r="C6" s="37" t="inlineStr">
        <is>
          <t>Qty</t>
        </is>
      </c>
      <c r="D6" s="37" t="inlineStr">
        <is>
          <t>Cost</t>
        </is>
      </c>
      <c r="E6" s="37" t="inlineStr">
        <is>
          <t>Sell</t>
        </is>
      </c>
      <c r="G6" s="37" t="inlineStr">
        <is>
          <t>Category</t>
        </is>
      </c>
      <c r="H6" s="37" t="inlineStr">
        <is>
          <t>Item</t>
        </is>
      </c>
      <c r="I6" s="37" t="inlineStr">
        <is>
          <t>Qty</t>
        </is>
      </c>
      <c r="J6" s="37" t="inlineStr">
        <is>
          <t>Cost</t>
        </is>
      </c>
      <c r="K6" s="37" t="inlineStr">
        <is>
          <t>Sell</t>
        </is>
      </c>
    </row>
    <row r="7">
      <c r="A7" s="52" t="inlineStr">
        <is>
          <t>⛳ Golf</t>
        </is>
      </c>
      <c r="B7" s="51" t="n"/>
      <c r="C7" s="51" t="n"/>
      <c r="D7" s="51" t="n"/>
      <c r="E7" s="51" t="n"/>
      <c r="G7" s="38" t="inlineStr">
        <is>
          <t>⛳ Golf</t>
        </is>
      </c>
    </row>
    <row r="8">
      <c r="A8" s="39" t="inlineStr">
        <is>
          <t>⛳ Golf</t>
        </is>
      </c>
      <c r="B8" t="inlineStr">
        <is>
          <t>Trump National LA</t>
        </is>
      </c>
      <c r="C8" t="n">
        <v>1</v>
      </c>
      <c r="D8" s="40">
        <f>IF(B8="","",C8*IFERROR(VLOOKUP(B8,'Master Data'!B:C,2,FALSE),0))</f>
        <v/>
      </c>
      <c r="E8" s="40">
        <f>IF(B8="","",C8*IFERROR(VLOOKUP(B8,'Master Data'!B:D,3,FALSE),0))</f>
        <v/>
      </c>
      <c r="G8" s="39" t="inlineStr">
        <is>
          <t>⛳ Golf</t>
        </is>
      </c>
      <c r="H8" t="inlineStr">
        <is>
          <t>Trump National LA</t>
        </is>
      </c>
      <c r="I8" t="n">
        <v>2</v>
      </c>
      <c r="J8" s="40">
        <f>IF(H8="","",I8*IFERROR(VLOOKUP(H8,'Master Data'!B:C,2,FALSE),0))</f>
        <v/>
      </c>
      <c r="K8" s="40">
        <f>IF(H8="","",I8*IFERROR(VLOOKUP(H8,'Master Data'!B:D,3,FALSE),0))</f>
        <v/>
      </c>
    </row>
    <row r="9">
      <c r="A9" s="39" t="inlineStr">
        <is>
          <t>⛳ Golf</t>
        </is>
      </c>
      <c r="B9" t="inlineStr">
        <is>
          <t>Sandpiper GC</t>
        </is>
      </c>
      <c r="C9" t="n">
        <v>1</v>
      </c>
      <c r="D9" s="40">
        <f>IF(B9="","",C9*IFERROR(VLOOKUP(B9,'Master Data'!B:C,2,FALSE),0))</f>
        <v/>
      </c>
      <c r="E9" s="40">
        <f>IF(B9="","",C9*IFERROR(VLOOKUP(B9,'Master Data'!B:D,3,FALSE),0))</f>
        <v/>
      </c>
      <c r="G9" s="39" t="inlineStr">
        <is>
          <t>⛳ Golf</t>
        </is>
      </c>
      <c r="H9" t="inlineStr">
        <is>
          <t>Hidden Valley GC</t>
        </is>
      </c>
      <c r="I9" t="n">
        <v>1</v>
      </c>
      <c r="J9" s="40">
        <f>IF(H9="","",I9*IFERROR(VLOOKUP(H9,'Master Data'!B:C,2,FALSE),0))</f>
        <v/>
      </c>
      <c r="K9" s="40">
        <f>IF(H9="","",I9*IFERROR(VLOOKUP(H9,'Master Data'!B:D,3,FALSE),0))</f>
        <v/>
      </c>
    </row>
    <row r="10">
      <c r="A10" s="39" t="inlineStr">
        <is>
          <t>⛳ Golf</t>
        </is>
      </c>
      <c r="B10" t="inlineStr">
        <is>
          <t>Sandpiper GC Replay</t>
        </is>
      </c>
      <c r="C10" t="n">
        <v>1</v>
      </c>
      <c r="D10" s="40">
        <f>IF(B10="","",C10*IFERROR(VLOOKUP(B10,'Master Data'!B:C,2,FALSE),0))</f>
        <v/>
      </c>
      <c r="E10" s="40">
        <f>IF(B10="","",C10*IFERROR(VLOOKUP(B10,'Master Data'!B:D,3,FALSE),0))</f>
        <v/>
      </c>
      <c r="G10" s="39" t="inlineStr">
        <is>
          <t>⛳ Golf</t>
        </is>
      </c>
      <c r="J10" s="40">
        <f>IF(H10="","",I10*IFERROR(VLOOKUP(H10,'Master Data'!B:C,2,FALSE),0))</f>
        <v/>
      </c>
      <c r="K10" s="40">
        <f>IF(H10="","",I10*IFERROR(VLOOKUP(H10,'Master Data'!B:D,3,FALSE),0))</f>
        <v/>
      </c>
    </row>
    <row r="11">
      <c r="A11" s="39" t="inlineStr">
        <is>
          <t>⛳ Golf</t>
        </is>
      </c>
      <c r="B11" t="inlineStr">
        <is>
          <t>Hidden Valley GC</t>
        </is>
      </c>
      <c r="C11" t="n">
        <v>1</v>
      </c>
      <c r="D11" s="40">
        <f>IF(B11="","",C11*IFERROR(VLOOKUP(B11,'Master Data'!B:C,2,FALSE),0))</f>
        <v/>
      </c>
      <c r="E11" s="40">
        <f>IF(B11="","",C11*IFERROR(VLOOKUP(B11,'Master Data'!B:D,3,FALSE),0))</f>
        <v/>
      </c>
      <c r="G11" s="39" t="inlineStr">
        <is>
          <t>⛳ Golf</t>
        </is>
      </c>
      <c r="J11" s="40">
        <f>IF(H11="","",I11*IFERROR(VLOOKUP(H11,'Master Data'!B:C,2,FALSE),0))</f>
        <v/>
      </c>
      <c r="K11" s="40">
        <f>IF(H11="","",I11*IFERROR(VLOOKUP(H11,'Master Data'!B:D,3,FALSE),0))</f>
        <v/>
      </c>
    </row>
    <row r="12">
      <c r="A12" s="41" t="inlineStr">
        <is>
          <t>Subtotal ⛳ Golf</t>
        </is>
      </c>
      <c r="D12" s="42">
        <f>SUM(D8:D11)</f>
        <v/>
      </c>
      <c r="E12" s="42">
        <f>SUM(E8:E11)</f>
        <v/>
      </c>
      <c r="G12" s="41" t="inlineStr">
        <is>
          <t>Subtotal ⛳ Golf</t>
        </is>
      </c>
      <c r="J12" s="42">
        <f>SUM(J8:J11)</f>
        <v/>
      </c>
      <c r="K12" s="42">
        <f>SUM(K8:K11)</f>
        <v/>
      </c>
    </row>
    <row r="13"/>
    <row r="14">
      <c r="A14" s="52" t="inlineStr">
        <is>
          <t>🏨 Hotel</t>
        </is>
      </c>
      <c r="B14" s="51" t="n"/>
      <c r="C14" s="51" t="n"/>
      <c r="D14" s="51" t="n"/>
      <c r="E14" s="51" t="n"/>
      <c r="G14" s="38" t="inlineStr">
        <is>
          <t>🏨 Hotel</t>
        </is>
      </c>
    </row>
    <row r="15">
      <c r="A15" s="39" t="inlineStr">
        <is>
          <t>🏨 Hotel</t>
        </is>
      </c>
      <c r="B15" t="inlineStr">
        <is>
          <t>Beverly Wilshire / Same Tier (5★)</t>
        </is>
      </c>
      <c r="C15" t="n">
        <v>6</v>
      </c>
      <c r="D15" s="40">
        <f>IF(B15="","",C15*IFERROR(VLOOKUP(B15,'Master Data'!B:C,2,FALSE),0))</f>
        <v/>
      </c>
      <c r="E15" s="40">
        <f>IF(B15="","",C15*IFERROR(VLOOKUP(B15,'Master Data'!B:D,3,FALSE),0))</f>
        <v/>
      </c>
      <c r="G15" s="39" t="inlineStr">
        <is>
          <t>🏨 Hotel</t>
        </is>
      </c>
      <c r="H15" t="inlineStr">
        <is>
          <t>Beverly Wilshire / Same Tier (5★)</t>
        </is>
      </c>
      <c r="I15" t="n">
        <v>5</v>
      </c>
      <c r="J15" s="40">
        <f>IF(H15="","",I15*IFERROR(VLOOKUP(H15,'Master Data'!B:C,2,FALSE),0))</f>
        <v/>
      </c>
      <c r="K15" s="40">
        <f>IF(H15="","",I15*IFERROR(VLOOKUP(H15,'Master Data'!B:D,3,FALSE),0))</f>
        <v/>
      </c>
    </row>
    <row r="16">
      <c r="A16" s="41" t="inlineStr">
        <is>
          <t>Subtotal 🏨 Hotel</t>
        </is>
      </c>
      <c r="D16" s="42">
        <f>SUM(D15:D15)</f>
        <v/>
      </c>
      <c r="E16" s="42">
        <f>SUM(E15:E15)</f>
        <v/>
      </c>
      <c r="G16" s="41" t="inlineStr">
        <is>
          <t>Subtotal 🏨 Hotel</t>
        </is>
      </c>
      <c r="J16" s="42">
        <f>SUM(J15:J15)</f>
        <v/>
      </c>
      <c r="K16" s="42">
        <f>SUM(K15:K15)</f>
        <v/>
      </c>
    </row>
    <row r="17"/>
    <row r="18">
      <c r="A18" s="52" t="inlineStr">
        <is>
          <t>🚐 Transport</t>
        </is>
      </c>
      <c r="B18" s="51" t="n"/>
      <c r="C18" s="51" t="n"/>
      <c r="D18" s="51" t="n"/>
      <c r="E18" s="51" t="n"/>
      <c r="G18" s="38" t="inlineStr">
        <is>
          <t>🚐 Transport</t>
        </is>
      </c>
    </row>
    <row r="19">
      <c r="A19" s="39" t="inlineStr">
        <is>
          <t>🚐 Transport</t>
        </is>
      </c>
      <c r="B19" t="inlineStr">
        <is>
          <t>Airport Roundtrip</t>
        </is>
      </c>
      <c r="C19" t="n">
        <v>1</v>
      </c>
      <c r="D19" s="40">
        <f>IF(B19="","",C19*IFERROR(VLOOKUP(B19,'Master Data'!B:C,2,FALSE),0))</f>
        <v/>
      </c>
      <c r="E19" s="40">
        <f>IF(B19="","",C19*IFERROR(VLOOKUP(B19,'Master Data'!B:D,3,FALSE),0))</f>
        <v/>
      </c>
      <c r="G19" s="39" t="inlineStr">
        <is>
          <t>🚐 Transport</t>
        </is>
      </c>
      <c r="H19" t="inlineStr">
        <is>
          <t>Airport Roundtrip</t>
        </is>
      </c>
      <c r="I19" t="n">
        <v>1</v>
      </c>
      <c r="J19" s="40">
        <f>IF(H19="","",I19*IFERROR(VLOOKUP(H19,'Master Data'!B:C,2,FALSE),0))</f>
        <v/>
      </c>
      <c r="K19" s="40">
        <f>IF(H19="","",I19*IFERROR(VLOOKUP(H19,'Master Data'!B:D,3,FALSE),0))</f>
        <v/>
      </c>
    </row>
    <row r="20">
      <c r="A20" s="39" t="inlineStr">
        <is>
          <t>🚐 Transport</t>
        </is>
      </c>
      <c r="B20" t="inlineStr">
        <is>
          <t>Driver/Guide + Van (일당)</t>
        </is>
      </c>
      <c r="C20" t="n">
        <v>7</v>
      </c>
      <c r="D20" s="40">
        <f>IF(B20="","",C20*IFERROR(VLOOKUP(B20,'Master Data'!B:C,2,FALSE),0))</f>
        <v/>
      </c>
      <c r="E20" s="40">
        <f>IF(B20="","",C20*IFERROR(VLOOKUP(B20,'Master Data'!B:D,3,FALSE),0))</f>
        <v/>
      </c>
      <c r="G20" s="39" t="inlineStr">
        <is>
          <t>🚐 Transport</t>
        </is>
      </c>
      <c r="H20" t="inlineStr">
        <is>
          <t>Driver/Guide + Van (일당)</t>
        </is>
      </c>
      <c r="I20" t="n">
        <v>6</v>
      </c>
      <c r="J20" s="40">
        <f>IF(H20="","",I20*IFERROR(VLOOKUP(H20,'Master Data'!B:C,2,FALSE),0))</f>
        <v/>
      </c>
      <c r="K20" s="40">
        <f>IF(H20="","",I20*IFERROR(VLOOKUP(H20,'Master Data'!B:D,3,FALSE),0))</f>
        <v/>
      </c>
    </row>
    <row r="21">
      <c r="A21" s="41" t="inlineStr">
        <is>
          <t>Subtotal 🚐 Transport</t>
        </is>
      </c>
      <c r="D21" s="42">
        <f>SUM(D19:D20)</f>
        <v/>
      </c>
      <c r="E21" s="42">
        <f>SUM(E19:E20)</f>
        <v/>
      </c>
      <c r="G21" s="41" t="inlineStr">
        <is>
          <t>Subtotal 🚐 Transport</t>
        </is>
      </c>
      <c r="J21" s="42">
        <f>SUM(J19:J20)</f>
        <v/>
      </c>
      <c r="K21" s="42">
        <f>SUM(K19:K20)</f>
        <v/>
      </c>
    </row>
    <row r="22"/>
    <row r="23">
      <c r="A23" s="52" t="inlineStr">
        <is>
          <t>🍽️ Meals</t>
        </is>
      </c>
      <c r="B23" s="51" t="n"/>
      <c r="C23" s="51" t="n"/>
      <c r="D23" s="51" t="n"/>
      <c r="E23" s="51" t="n"/>
      <c r="G23" s="38" t="inlineStr">
        <is>
          <t>🍽️ Meals</t>
        </is>
      </c>
    </row>
    <row r="24">
      <c r="A24" s="39" t="inlineStr">
        <is>
          <t>🍽️ Meals</t>
        </is>
      </c>
      <c r="B24" t="inlineStr">
        <is>
          <t>Breakfast (Hotel)</t>
        </is>
      </c>
      <c r="C24" t="n">
        <v>7</v>
      </c>
      <c r="D24" s="40">
        <f>IF(B24="","",C24*IFERROR(VLOOKUP(B24,'Master Data'!B:C,2,FALSE),0))</f>
        <v/>
      </c>
      <c r="E24" s="40">
        <f>IF(B24="","",C24*IFERROR(VLOOKUP(B24,'Master Data'!B:D,3,FALSE),0))</f>
        <v/>
      </c>
      <c r="G24" s="39" t="inlineStr">
        <is>
          <t>🍽️ Meals</t>
        </is>
      </c>
      <c r="H24" t="inlineStr">
        <is>
          <t>Breakfast (Hotel)</t>
        </is>
      </c>
      <c r="I24" t="n">
        <v>6</v>
      </c>
      <c r="J24" s="40">
        <f>IF(H24="","",I24*IFERROR(VLOOKUP(H24,'Master Data'!B:C,2,FALSE),0))</f>
        <v/>
      </c>
      <c r="K24" s="40">
        <f>IF(H24="","",I24*IFERROR(VLOOKUP(H24,'Master Data'!B:D,3,FALSE),0))</f>
        <v/>
      </c>
    </row>
    <row r="25">
      <c r="A25" s="39" t="inlineStr">
        <is>
          <t>🍽️ Meals</t>
        </is>
      </c>
      <c r="B25" t="inlineStr">
        <is>
          <t>Lunch</t>
        </is>
      </c>
      <c r="C25" t="n">
        <v>6</v>
      </c>
      <c r="D25" s="40">
        <f>IF(B25="","",C25*IFERROR(VLOOKUP(B25,'Master Data'!B:C,2,FALSE),0))</f>
        <v/>
      </c>
      <c r="E25" s="40">
        <f>IF(B25="","",C25*IFERROR(VLOOKUP(B25,'Master Data'!B:D,3,FALSE),0))</f>
        <v/>
      </c>
      <c r="G25" s="39" t="inlineStr">
        <is>
          <t>🍽️ Meals</t>
        </is>
      </c>
      <c r="H25" t="inlineStr">
        <is>
          <t>Lunch</t>
        </is>
      </c>
      <c r="I25" t="n">
        <v>5</v>
      </c>
      <c r="J25" s="40">
        <f>IF(H25="","",I25*IFERROR(VLOOKUP(H25,'Master Data'!B:C,2,FALSE),0))</f>
        <v/>
      </c>
      <c r="K25" s="40">
        <f>IF(H25="","",I25*IFERROR(VLOOKUP(H25,'Master Data'!B:D,3,FALSE),0))</f>
        <v/>
      </c>
    </row>
    <row r="26">
      <c r="A26" s="39" t="inlineStr">
        <is>
          <t>🍽️ Meals</t>
        </is>
      </c>
      <c r="B26" t="inlineStr">
        <is>
          <t>Dinner (Regular)</t>
        </is>
      </c>
      <c r="C26" t="n">
        <v>6</v>
      </c>
      <c r="D26" s="40">
        <f>IF(B26="","",C26*IFERROR(VLOOKUP(B26,'Master Data'!B:C,2,FALSE),0))</f>
        <v/>
      </c>
      <c r="E26" s="40">
        <f>IF(B26="","",C26*IFERROR(VLOOKUP(B26,'Master Data'!B:D,3,FALSE),0))</f>
        <v/>
      </c>
      <c r="G26" s="39" t="inlineStr">
        <is>
          <t>🍽️ Meals</t>
        </is>
      </c>
      <c r="H26" t="inlineStr">
        <is>
          <t>Dinner (Regular)</t>
        </is>
      </c>
      <c r="I26" t="n">
        <v>5</v>
      </c>
      <c r="J26" s="40">
        <f>IF(H26="","",I26*IFERROR(VLOOKUP(H26,'Master Data'!B:C,2,FALSE),0))</f>
        <v/>
      </c>
      <c r="K26" s="40">
        <f>IF(H26="","",I26*IFERROR(VLOOKUP(H26,'Master Data'!B:D,3,FALSE),0))</f>
        <v/>
      </c>
    </row>
    <row r="27">
      <c r="A27" s="39" t="inlineStr">
        <is>
          <t>🍽️ Meals</t>
        </is>
      </c>
      <c r="B27" t="inlineStr">
        <is>
          <t>Exclusive Dinner (Michelin)</t>
        </is>
      </c>
      <c r="C27" t="n">
        <v>2</v>
      </c>
      <c r="D27" s="40">
        <f>IF(B27="","",C27*IFERROR(VLOOKUP(B27,'Master Data'!B:C,2,FALSE),0))</f>
        <v/>
      </c>
      <c r="E27" s="40">
        <f>IF(B27="","",C27*IFERROR(VLOOKUP(B27,'Master Data'!B:D,3,FALSE),0))</f>
        <v/>
      </c>
      <c r="G27" s="39" t="inlineStr">
        <is>
          <t>🍽️ Meals</t>
        </is>
      </c>
      <c r="H27" t="inlineStr">
        <is>
          <t>Exclusive Dinner (Michelin)</t>
        </is>
      </c>
      <c r="I27" t="n">
        <v>2</v>
      </c>
      <c r="J27" s="40">
        <f>IF(H27="","",I27*IFERROR(VLOOKUP(H27,'Master Data'!B:C,2,FALSE),0))</f>
        <v/>
      </c>
      <c r="K27" s="40">
        <f>IF(H27="","",I27*IFERROR(VLOOKUP(H27,'Master Data'!B:D,3,FALSE),0))</f>
        <v/>
      </c>
    </row>
    <row r="28">
      <c r="A28" s="41" t="inlineStr">
        <is>
          <t>Subtotal 🍽️ Meals</t>
        </is>
      </c>
      <c r="D28" s="42">
        <f>SUM(D24:D27)</f>
        <v/>
      </c>
      <c r="E28" s="42">
        <f>SUM(E24:E27)</f>
        <v/>
      </c>
      <c r="G28" s="41" t="inlineStr">
        <is>
          <t>Subtotal 🍽️ Meals</t>
        </is>
      </c>
      <c r="J28" s="42">
        <f>SUM(J24:J27)</f>
        <v/>
      </c>
      <c r="K28" s="42">
        <f>SUM(K24:K27)</f>
        <v/>
      </c>
    </row>
    <row r="29"/>
    <row r="30">
      <c r="A30" s="52" t="inlineStr">
        <is>
          <t>📦 Insurance</t>
        </is>
      </c>
      <c r="B30" s="51" t="n"/>
      <c r="C30" s="51" t="n"/>
      <c r="D30" s="51" t="n"/>
      <c r="E30" s="51" t="n"/>
      <c r="G30" s="38" t="inlineStr">
        <is>
          <t>📦 Insurance</t>
        </is>
      </c>
    </row>
    <row r="31">
      <c r="A31" s="39" t="inlineStr">
        <is>
          <t>📦 Insurance</t>
        </is>
      </c>
      <c r="B31" t="inlineStr">
        <is>
          <t>Insurance/Tips/Contingency (per day)</t>
        </is>
      </c>
      <c r="C31" t="n">
        <v>7</v>
      </c>
      <c r="D31" s="40">
        <f>IF(B31="","",C31*IFERROR(VLOOKUP(B31,'Master Data'!B:C,2,FALSE),0))</f>
        <v/>
      </c>
      <c r="E31" s="40">
        <f>IF(B31="","",C31*IFERROR(VLOOKUP(B31,'Master Data'!B:D,3,FALSE),0))</f>
        <v/>
      </c>
      <c r="G31" s="39" t="inlineStr">
        <is>
          <t>📦 Insurance</t>
        </is>
      </c>
      <c r="H31" t="inlineStr">
        <is>
          <t>Insurance/Tips/Contingency (per day)</t>
        </is>
      </c>
      <c r="I31" t="n">
        <v>6</v>
      </c>
      <c r="J31" s="40">
        <f>IF(H31="","",I31*IFERROR(VLOOKUP(H31,'Master Data'!B:C,2,FALSE),0))</f>
        <v/>
      </c>
      <c r="K31" s="40">
        <f>IF(H31="","",I31*IFERROR(VLOOKUP(H31,'Master Data'!B:D,3,FALSE),0))</f>
        <v/>
      </c>
    </row>
    <row r="32">
      <c r="A32" s="41" t="inlineStr">
        <is>
          <t>Subtotal 📦 Insurance</t>
        </is>
      </c>
      <c r="D32" s="42">
        <f>SUM(D31:D31)</f>
        <v/>
      </c>
      <c r="E32" s="42">
        <f>SUM(E31:E31)</f>
        <v/>
      </c>
      <c r="G32" s="41" t="inlineStr">
        <is>
          <t>Subtotal 📦 Insurance</t>
        </is>
      </c>
      <c r="J32" s="42">
        <f>SUM(J31:J31)</f>
        <v/>
      </c>
      <c r="K32" s="42">
        <f>SUM(K31:K31)</f>
        <v/>
      </c>
    </row>
    <row r="33"/>
    <row r="34"/>
    <row r="35">
      <c r="A35" s="43" t="inlineStr">
        <is>
          <t>🏆 GRAND TOTAL (per person)</t>
        </is>
      </c>
      <c r="D35" s="44">
        <f>D12+D16+D21+D28+D32</f>
        <v/>
      </c>
      <c r="E35" s="44">
        <f>E12+E16+E21+E28+E32</f>
        <v/>
      </c>
      <c r="J35" s="44">
        <f>J12+J16+J21+J28+J32</f>
        <v/>
      </c>
      <c r="K35" s="44">
        <f>K12+K16+K21+K28+K32</f>
        <v/>
      </c>
    </row>
  </sheetData>
  <mergeCells count="14">
    <mergeCell ref="A30:E30"/>
    <mergeCell ref="A28:C28"/>
    <mergeCell ref="A4:E4"/>
    <mergeCell ref="A32:C32"/>
    <mergeCell ref="A7:E7"/>
    <mergeCell ref="A23:E23"/>
    <mergeCell ref="A21:C21"/>
    <mergeCell ref="A35:C35"/>
    <mergeCell ref="A14:E14"/>
    <mergeCell ref="A12:C12"/>
    <mergeCell ref="A1:K1"/>
    <mergeCell ref="A18:E18"/>
    <mergeCell ref="A16:C16"/>
    <mergeCell ref="G4:K4"/>
  </mergeCells>
  <dataValidations count="10">
    <dataValidation sqref="B8 B9 B10 B11" showDropDown="0" showInputMessage="0" showErrorMessage="0" allowBlank="1" errorTitle="Invalid" error="Select from list" type="list">
      <formula1>"Hidden Valley GC,Sandpiper GC,Sandpiper GC Replay,Trump National LA"</formula1>
    </dataValidation>
    <dataValidation sqref="H8 H9 H10 H11" showDropDown="0" showInputMessage="0" showErrorMessage="0" allowBlank="1" errorTitle="Invalid" error="Select from list" type="list">
      <formula1>"Hidden Valley GC,Sandpiper GC,Sandpiper GC Replay,Trump National LA"</formula1>
    </dataValidation>
    <dataValidation sqref="B15" showDropDown="0" showInputMessage="0" showErrorMessage="0" allowBlank="1" errorTitle="Invalid" error="Select from list" type="list">
      <formula1>"Beverly Wilshire / Same Tier (5★)"</formula1>
    </dataValidation>
    <dataValidation sqref="H15" showDropDown="0" showInputMessage="0" showErrorMessage="0" allowBlank="1" errorTitle="Invalid" error="Select from list" type="list">
      <formula1>"Beverly Wilshire / Same Tier (5★)"</formula1>
    </dataValidation>
    <dataValidation sqref="B19 B20" showDropDown="0" showInputMessage="0" showErrorMessage="0" allowBlank="1" errorTitle="Invalid" error="Select from list" type="list">
      <formula1>"Airport Roundtrip,Driver/Guide + Van (일당)"</formula1>
    </dataValidation>
    <dataValidation sqref="H19 H20" showDropDown="0" showInputMessage="0" showErrorMessage="0" allowBlank="1" errorTitle="Invalid" error="Select from list" type="list">
      <formula1>"Airport Roundtrip,Driver/Guide + Van (일당)"</formula1>
    </dataValidation>
    <dataValidation sqref="B24 B25 B26 B27" showDropDown="0" showInputMessage="0" showErrorMessage="0" allowBlank="1" errorTitle="Invalid" error="Select from list" type="list">
      <formula1>"Breakfast (Hotel),Lunch,Dinner (Regular),Exclusive Dinner (Michelin)"</formula1>
    </dataValidation>
    <dataValidation sqref="H24 H25 H26 H27" showDropDown="0" showInputMessage="0" showErrorMessage="0" allowBlank="1" errorTitle="Invalid" error="Select from list" type="list">
      <formula1>"Breakfast (Hotel),Lunch,Dinner (Regular),Exclusive Dinner (Michelin)"</formula1>
    </dataValidation>
    <dataValidation sqref="B31" showDropDown="0" showInputMessage="0" showErrorMessage="0" allowBlank="1" errorTitle="Invalid" error="Select from list" type="list">
      <formula1>"Insurance/Tips/Contingency (per day)"</formula1>
    </dataValidation>
    <dataValidation sqref="H31" showDropDown="0" showInputMessage="0" showErrorMessage="0" allowBlank="1" errorTitle="Invalid" error="Select from list" type="list">
      <formula1>"Insurance/Tips/Contingency (per day)"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RESONATE CLUB — Master Data (40% Markup)</t>
        </is>
      </c>
    </row>
    <row r="2">
      <c r="A2" s="2" t="inlineStr">
        <is>
          <t>Cost → Sell pricing for all package components</t>
        </is>
      </c>
    </row>
    <row r="4">
      <c r="A4" s="3" t="inlineStr">
        <is>
          <t>Category</t>
        </is>
      </c>
      <c r="B4" s="3" t="inlineStr">
        <is>
          <t>Item</t>
        </is>
      </c>
      <c r="C4" s="3" t="inlineStr">
        <is>
          <t>Cost (USD)</t>
        </is>
      </c>
      <c r="D4" s="3" t="inlineStr">
        <is>
          <t>Sell (USD)</t>
        </is>
      </c>
      <c r="E4" s="3" t="inlineStr">
        <is>
          <t>Markup %</t>
        </is>
      </c>
    </row>
    <row r="5">
      <c r="A5" s="4" t="inlineStr">
        <is>
          <t>⛳ Golf Courses</t>
        </is>
      </c>
    </row>
    <row r="6">
      <c r="A6" s="6" t="inlineStr">
        <is>
          <t>⛳ Golf Courses</t>
        </is>
      </c>
      <c r="B6" s="7" t="inlineStr">
        <is>
          <t>Hidden Valley GC</t>
        </is>
      </c>
      <c r="C6" s="8" t="n">
        <v>109</v>
      </c>
      <c r="D6" s="8" t="n">
        <v>153</v>
      </c>
      <c r="E6" s="7" t="inlineStr">
        <is>
          <t>40%</t>
        </is>
      </c>
    </row>
    <row r="7">
      <c r="A7" s="9" t="inlineStr">
        <is>
          <t>⛳ Golf Courses</t>
        </is>
      </c>
      <c r="B7" s="10" t="inlineStr">
        <is>
          <t>Sandpiper GC</t>
        </is>
      </c>
      <c r="C7" s="11" t="n">
        <v>130</v>
      </c>
      <c r="D7" s="11" t="n">
        <v>182</v>
      </c>
      <c r="E7" s="10" t="inlineStr">
        <is>
          <t>40%</t>
        </is>
      </c>
    </row>
    <row r="8">
      <c r="A8" s="6" t="inlineStr">
        <is>
          <t>⛳ Golf Courses</t>
        </is>
      </c>
      <c r="B8" s="7" t="inlineStr">
        <is>
          <t>Sandpiper GC Replay</t>
        </is>
      </c>
      <c r="C8" s="8" t="n">
        <v>0</v>
      </c>
      <c r="D8" s="8" t="n">
        <v>182</v>
      </c>
      <c r="E8" s="7" t="inlineStr">
        <is>
          <t>∞ (free replay)</t>
        </is>
      </c>
    </row>
    <row r="9">
      <c r="A9" s="9" t="inlineStr">
        <is>
          <t>⛳ Golf Courses</t>
        </is>
      </c>
      <c r="B9" s="10" t="inlineStr">
        <is>
          <t>Trump National LA</t>
        </is>
      </c>
      <c r="C9" s="11" t="n">
        <v>210</v>
      </c>
      <c r="D9" s="11" t="n">
        <v>294</v>
      </c>
      <c r="E9" s="10" t="inlineStr">
        <is>
          <t>40%</t>
        </is>
      </c>
    </row>
    <row r="10"/>
    <row r="11">
      <c r="A11" s="4" t="inlineStr">
        <is>
          <t>🏨 Hotels (1박/인, Double Occupancy)</t>
        </is>
      </c>
    </row>
    <row r="12">
      <c r="A12" s="6" t="inlineStr">
        <is>
          <t>🏨 Hotels (1박/인, Double Occupancy)</t>
        </is>
      </c>
      <c r="B12" s="7" t="inlineStr">
        <is>
          <t>Beverly Wilshire / Same Tier (5★)</t>
        </is>
      </c>
      <c r="C12" s="8" t="n">
        <v>275</v>
      </c>
      <c r="D12" s="8" t="n">
        <v>385</v>
      </c>
      <c r="E12" s="7" t="inlineStr">
        <is>
          <t>40%</t>
        </is>
      </c>
    </row>
    <row r="13"/>
    <row r="14">
      <c r="A14" s="4" t="inlineStr">
        <is>
          <t>🚐 Transport</t>
        </is>
      </c>
    </row>
    <row r="15">
      <c r="A15" s="6" t="inlineStr">
        <is>
          <t>🚐 Transport</t>
        </is>
      </c>
      <c r="B15" s="7" t="inlineStr">
        <is>
          <t>Airport Roundtrip</t>
        </is>
      </c>
      <c r="C15" s="8" t="n">
        <v>75</v>
      </c>
      <c r="D15" s="8" t="n">
        <v>105</v>
      </c>
      <c r="E15" s="7" t="inlineStr">
        <is>
          <t>40%</t>
        </is>
      </c>
    </row>
    <row r="16">
      <c r="A16" s="9" t="inlineStr">
        <is>
          <t>🚐 Transport</t>
        </is>
      </c>
      <c r="B16" s="10" t="inlineStr">
        <is>
          <t>Driver/Guide + Van (일당)</t>
        </is>
      </c>
      <c r="C16" s="11" t="n">
        <v>125</v>
      </c>
      <c r="D16" s="11" t="n">
        <v>175</v>
      </c>
      <c r="E16" s="10" t="inlineStr">
        <is>
          <t>40%</t>
        </is>
      </c>
    </row>
    <row r="17"/>
    <row r="18">
      <c r="A18" s="4" t="inlineStr">
        <is>
          <t>🍽️ Meals (1인 1끼)</t>
        </is>
      </c>
    </row>
    <row r="19">
      <c r="A19" s="6" t="inlineStr">
        <is>
          <t>🍽️ Meals (1인 1끼)</t>
        </is>
      </c>
      <c r="B19" s="7" t="inlineStr">
        <is>
          <t>Breakfast (Hotel)</t>
        </is>
      </c>
      <c r="C19" s="8" t="n">
        <v>30</v>
      </c>
      <c r="D19" s="8" t="n">
        <v>42</v>
      </c>
      <c r="E19" s="7" t="inlineStr">
        <is>
          <t>40%</t>
        </is>
      </c>
    </row>
    <row r="20">
      <c r="A20" s="9" t="inlineStr">
        <is>
          <t>🍽️ Meals (1인 1끼)</t>
        </is>
      </c>
      <c r="B20" s="10" t="inlineStr">
        <is>
          <t>Lunch</t>
        </is>
      </c>
      <c r="C20" s="11" t="n">
        <v>40</v>
      </c>
      <c r="D20" s="11" t="n">
        <v>56</v>
      </c>
      <c r="E20" s="10" t="inlineStr">
        <is>
          <t>40%</t>
        </is>
      </c>
    </row>
    <row r="21">
      <c r="A21" s="6" t="inlineStr">
        <is>
          <t>🍽️ Meals (1인 1끼)</t>
        </is>
      </c>
      <c r="B21" s="7" t="inlineStr">
        <is>
          <t>Dinner (Regular)</t>
        </is>
      </c>
      <c r="C21" s="8" t="n">
        <v>80</v>
      </c>
      <c r="D21" s="8" t="n">
        <v>112</v>
      </c>
      <c r="E21" s="7" t="inlineStr">
        <is>
          <t>40%</t>
        </is>
      </c>
    </row>
    <row r="22">
      <c r="A22" s="9" t="inlineStr">
        <is>
          <t>🍽️ Meals (1인 1끼)</t>
        </is>
      </c>
      <c r="B22" s="10" t="inlineStr">
        <is>
          <t>Exclusive Dinner (Michelin)</t>
        </is>
      </c>
      <c r="C22" s="11" t="n">
        <v>120</v>
      </c>
      <c r="D22" s="11" t="n">
        <v>168</v>
      </c>
      <c r="E22" s="10" t="inlineStr">
        <is>
          <t>40%</t>
        </is>
      </c>
    </row>
    <row r="23"/>
    <row r="24">
      <c r="A24" s="4" t="inlineStr">
        <is>
          <t>📦 Other</t>
        </is>
      </c>
    </row>
    <row r="25">
      <c r="A25" s="6" t="inlineStr">
        <is>
          <t>📦 Other</t>
        </is>
      </c>
      <c r="B25" s="7" t="inlineStr">
        <is>
          <t>Insurance/Tips/Contingency (per day)</t>
        </is>
      </c>
      <c r="C25" s="8" t="n">
        <v>50</v>
      </c>
      <c r="D25" s="8" t="n">
        <v>70</v>
      </c>
      <c r="E25" s="7" t="inlineStr">
        <is>
          <t>40%</t>
        </is>
      </c>
    </row>
  </sheetData>
  <autoFilter ref="A4:E26"/>
  <mergeCells count="6">
    <mergeCell ref="A24:E24"/>
    <mergeCell ref="A11:E11"/>
    <mergeCell ref="A1:E1"/>
    <mergeCell ref="A5:E5"/>
    <mergeCell ref="A14:E14"/>
    <mergeCell ref="A18:E18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34" t="inlineStr">
        <is>
          <t>PACKAGE SUMMARY — Client-Facing Overview</t>
        </is>
      </c>
    </row>
    <row r="2">
      <c r="A2" s="35" t="inlineStr">
        <is>
          <t>All-inclusive per-person pricing | Auto-calculated from Package Selector</t>
        </is>
      </c>
    </row>
    <row r="4">
      <c r="A4" s="36" t="inlineStr">
        <is>
          <t>PACKAGE A: 트럼프 프리미어 (Trump Premier)</t>
        </is>
      </c>
    </row>
    <row r="5">
      <c r="A5" s="45" t="inlineStr">
        <is>
          <t>Duration: 6박7일 (6 nights / 7 days)</t>
        </is>
      </c>
    </row>
    <row r="7">
      <c r="A7" s="37" t="inlineStr">
        <is>
          <t>Category</t>
        </is>
      </c>
      <c r="B7" s="37" t="inlineStr">
        <is>
          <t>Cost (USD)</t>
        </is>
      </c>
      <c r="C7" s="37" t="inlineStr">
        <is>
          <t>Sell (USD)</t>
        </is>
      </c>
      <c r="D7" s="37" t="inlineStr">
        <is>
          <t>Margin ($)</t>
        </is>
      </c>
      <c r="E7" s="37" t="inlineStr">
        <is>
          <t>Margin %</t>
        </is>
      </c>
    </row>
    <row r="8">
      <c r="A8" s="46" t="inlineStr">
        <is>
          <t>⛳ Golf</t>
        </is>
      </c>
      <c r="B8" s="40">
        <f>'Package Selector'!D12</f>
        <v/>
      </c>
      <c r="C8" s="40">
        <f>'Package Selector'!E12</f>
        <v/>
      </c>
      <c r="D8" s="40">
        <f>C8-B8</f>
        <v/>
      </c>
      <c r="E8" s="47">
        <f>IF(C8&gt;0,D8/C8,0)</f>
        <v/>
      </c>
    </row>
    <row r="9">
      <c r="A9" s="46" t="inlineStr">
        <is>
          <t>🏨 Hotel</t>
        </is>
      </c>
      <c r="B9" s="40">
        <f>'Package Selector'!D16</f>
        <v/>
      </c>
      <c r="C9" s="40">
        <f>'Package Selector'!E16</f>
        <v/>
      </c>
      <c r="D9" s="40">
        <f>C9-B9</f>
        <v/>
      </c>
      <c r="E9" s="47">
        <f>IF(C9&gt;0,D9/C9,0)</f>
        <v/>
      </c>
    </row>
    <row r="10">
      <c r="A10" s="46" t="inlineStr">
        <is>
          <t>🚐 Transport</t>
        </is>
      </c>
      <c r="B10" s="40">
        <f>'Package Selector'!D21</f>
        <v/>
      </c>
      <c r="C10" s="40">
        <f>'Package Selector'!E21</f>
        <v/>
      </c>
      <c r="D10" s="40">
        <f>C10-B10</f>
        <v/>
      </c>
      <c r="E10" s="47">
        <f>IF(C10&gt;0,D10/C10,0)</f>
        <v/>
      </c>
    </row>
    <row r="11">
      <c r="A11" s="46" t="inlineStr">
        <is>
          <t>🍽️ Meals</t>
        </is>
      </c>
      <c r="B11" s="40">
        <f>'Package Selector'!D28</f>
        <v/>
      </c>
      <c r="C11" s="40">
        <f>'Package Selector'!E28</f>
        <v/>
      </c>
      <c r="D11" s="40">
        <f>C11-B11</f>
        <v/>
      </c>
      <c r="E11" s="47">
        <f>IF(C11&gt;0,D11/C11,0)</f>
        <v/>
      </c>
    </row>
    <row r="12">
      <c r="A12" s="46" t="inlineStr">
        <is>
          <t>📦 Insurance</t>
        </is>
      </c>
      <c r="B12" s="40">
        <f>'Package Selector'!D32</f>
        <v/>
      </c>
      <c r="C12" s="40">
        <f>'Package Selector'!E32</f>
        <v/>
      </c>
      <c r="D12" s="40">
        <f>C12-B12</f>
        <v/>
      </c>
      <c r="E12" s="47">
        <f>IF(C12&gt;0,D12/C12,0)</f>
        <v/>
      </c>
    </row>
    <row r="13">
      <c r="A13" s="48" t="inlineStr">
        <is>
          <t>🏆 TOTAL PER PERSON (Package A)</t>
        </is>
      </c>
      <c r="B13" s="49">
        <f>'Package Selector'!D35</f>
        <v/>
      </c>
      <c r="C13" s="49">
        <f>'Package Selector'!E35</f>
        <v/>
      </c>
      <c r="D13" s="49">
        <f>C13-B13</f>
        <v/>
      </c>
      <c r="E13" s="50">
        <f>IF(C13&gt;0,D13/C13,0)</f>
        <v/>
      </c>
    </row>
    <row r="16">
      <c r="A16" s="36" t="inlineStr">
        <is>
          <t>PACKAGE B: 트럼프 엘리트 (Trump Elite)</t>
        </is>
      </c>
    </row>
    <row r="17">
      <c r="A17" s="45" t="inlineStr">
        <is>
          <t>Duration: 5박6일 (5 nights / 6 days)</t>
        </is>
      </c>
    </row>
    <row r="19">
      <c r="A19" s="37" t="inlineStr">
        <is>
          <t>Category</t>
        </is>
      </c>
      <c r="B19" s="37" t="inlineStr">
        <is>
          <t>Cost (USD)</t>
        </is>
      </c>
      <c r="C19" s="37" t="inlineStr">
        <is>
          <t>Sell (USD)</t>
        </is>
      </c>
      <c r="D19" s="37" t="inlineStr">
        <is>
          <t>Margin ($)</t>
        </is>
      </c>
      <c r="E19" s="37" t="inlineStr">
        <is>
          <t>Margin %</t>
        </is>
      </c>
    </row>
    <row r="20">
      <c r="A20" s="46" t="inlineStr">
        <is>
          <t>⛳ Golf</t>
        </is>
      </c>
      <c r="B20" s="40">
        <f>'Package Selector'!J12</f>
        <v/>
      </c>
      <c r="C20" s="40">
        <f>'Package Selector'!K12</f>
        <v/>
      </c>
      <c r="D20" s="40">
        <f>C20-B20</f>
        <v/>
      </c>
      <c r="E20" s="47">
        <f>IF(C20&gt;0,D20/C20,0)</f>
        <v/>
      </c>
    </row>
    <row r="21">
      <c r="A21" s="46" t="inlineStr">
        <is>
          <t>🏨 Hotel</t>
        </is>
      </c>
      <c r="B21" s="40">
        <f>'Package Selector'!J16</f>
        <v/>
      </c>
      <c r="C21" s="40">
        <f>'Package Selector'!K16</f>
        <v/>
      </c>
      <c r="D21" s="40">
        <f>C21-B21</f>
        <v/>
      </c>
      <c r="E21" s="47">
        <f>IF(C21&gt;0,D21/C21,0)</f>
        <v/>
      </c>
    </row>
    <row r="22">
      <c r="A22" s="46" t="inlineStr">
        <is>
          <t>🚐 Transport</t>
        </is>
      </c>
      <c r="B22" s="40">
        <f>'Package Selector'!J21</f>
        <v/>
      </c>
      <c r="C22" s="40">
        <f>'Package Selector'!K21</f>
        <v/>
      </c>
      <c r="D22" s="40">
        <f>C22-B22</f>
        <v/>
      </c>
      <c r="E22" s="47">
        <f>IF(C22&gt;0,D22/C22,0)</f>
        <v/>
      </c>
    </row>
    <row r="23">
      <c r="A23" s="46" t="inlineStr">
        <is>
          <t>🍽️ Meals</t>
        </is>
      </c>
      <c r="B23" s="40">
        <f>'Package Selector'!J28</f>
        <v/>
      </c>
      <c r="C23" s="40">
        <f>'Package Selector'!K28</f>
        <v/>
      </c>
      <c r="D23" s="40">
        <f>C23-B23</f>
        <v/>
      </c>
      <c r="E23" s="47">
        <f>IF(C23&gt;0,D23/C23,0)</f>
        <v/>
      </c>
    </row>
    <row r="24">
      <c r="A24" s="46" t="inlineStr">
        <is>
          <t>📦 Insurance</t>
        </is>
      </c>
      <c r="B24" s="40">
        <f>'Package Selector'!J32</f>
        <v/>
      </c>
      <c r="C24" s="40">
        <f>'Package Selector'!K32</f>
        <v/>
      </c>
      <c r="D24" s="40">
        <f>C24-B24</f>
        <v/>
      </c>
      <c r="E24" s="47">
        <f>IF(C24&gt;0,D24/C24,0)</f>
        <v/>
      </c>
    </row>
    <row r="25">
      <c r="A25" s="48" t="inlineStr">
        <is>
          <t>🏆 TOTAL PER PERSON (Package B)</t>
        </is>
      </c>
      <c r="B25" s="49">
        <f>'Package Selector'!J35</f>
        <v/>
      </c>
      <c r="C25" s="49">
        <f>'Package Selector'!K35</f>
        <v/>
      </c>
      <c r="D25" s="49">
        <f>C25-B25</f>
        <v/>
      </c>
      <c r="E25" s="50">
        <f>IF(C25&gt;0,D25/C25,0)</f>
        <v/>
      </c>
    </row>
  </sheetData>
  <mergeCells count="3">
    <mergeCell ref="A16:E16"/>
    <mergeCell ref="A1:E1"/>
    <mergeCell ref="A4:E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2026-05-26T13:42:33Z</dcterms:created>
  <dcterms:modified xmlns:dcterms="http://purl.org/dc/terms/" xmlns:xsi="http://www.w3.org/2001/XMLSchema-instance" xsi:type="dcterms:W3CDTF">2026-05-28T23:03:53Z</dcterms:modified>
</cp:coreProperties>
</file>