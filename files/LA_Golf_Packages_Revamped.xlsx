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ster Data" sheetId="1" state="visible" r:id="rId1"/>
    <sheet xmlns:r="http://schemas.openxmlformats.org/officeDocument/2006/relationships" name="📦 12 Packages" sheetId="2" state="visible" r:id="rId2"/>
    <sheet xmlns:r="http://schemas.openxmlformats.org/officeDocument/2006/relationships" name="💰 Profi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%&quot;"/>
  </numFmts>
  <fonts count="9">
    <font>
      <name val="Calibri"/>
      <family val="2"/>
      <color theme="1"/>
      <sz val="11"/>
      <scheme val="minor"/>
    </font>
    <font>
      <name val="Calibri"/>
      <b val="1"/>
      <color rgb="001A3450"/>
      <sz val="14"/>
    </font>
    <font>
      <name val="Calibri"/>
      <color rgb="00888888"/>
      <sz val="9"/>
    </font>
    <font>
      <name val="Calibri"/>
      <b val="1"/>
      <color rgb="001A3450"/>
      <sz val="11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006100"/>
      <sz val="11"/>
    </font>
    <font>
      <name val="Calibri"/>
      <b val="1"/>
      <color rgb="00D4AF37"/>
      <sz val="11"/>
    </font>
    <font>
      <name val="Calibri"/>
      <b val="1"/>
      <color rgb="00333333"/>
      <sz val="11"/>
    </font>
  </fonts>
  <fills count="8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A345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450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18" customWidth="1" min="7" max="7"/>
    <col width="24" customWidth="1" min="8" max="8"/>
  </cols>
  <sheetData>
    <row r="1">
      <c r="A1" s="1" t="inlineStr">
        <is>
          <t>📊 MASTER DATA — 모든 비용 파라미터</t>
        </is>
      </c>
    </row>
    <row r="2">
      <c r="A2" s="2" t="inlineStr">
        <is>
          <t>🟡 노란색 = 직접 입력 가능  |  🔵 파란색 = 자동 계산  |  ☑ 체크 = 옵션 적용</t>
        </is>
      </c>
    </row>
    <row r="4">
      <c r="A4" s="3" t="inlineStr">
        <is>
          <t>⛳ GOLF COURSES — 골프 코스 (1인 1라운드, USD)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코스명 (Course)</t>
        </is>
      </c>
      <c r="B5" s="5" t="inlineStr">
        <is>
          <t>원가 (Cost)</t>
        </is>
      </c>
      <c r="C5" s="5" t="inlineStr">
        <is>
          <t>판매가 (Sell)</t>
        </is>
      </c>
      <c r="D5" s="5" t="inlineStr">
        <is>
          <t>마진율 (Margin%)</t>
        </is>
      </c>
      <c r="E5" s="5" t="inlineStr">
        <is>
          <t>단위마진 (Unit Margin)</t>
        </is>
      </c>
      <c r="F5" s="5" t="inlineStr">
        <is>
          <t>특이사항</t>
        </is>
      </c>
      <c r="G5" s="5" t="inlineStr">
        <is>
          <t>추가마진 옵션</t>
        </is>
      </c>
      <c r="H5" s="5" t="inlineStr">
        <is>
          <t>옵션 설명</t>
        </is>
      </c>
    </row>
    <row r="6">
      <c r="A6" s="6" t="inlineStr">
        <is>
          <t>Trump National LA</t>
        </is>
      </c>
      <c r="B6" s="7" t="n">
        <v>210</v>
      </c>
      <c r="C6" s="7" t="n">
        <v>500</v>
      </c>
      <c r="D6" s="8" t="n">
        <v>138.1</v>
      </c>
      <c r="E6" s="9" t="n">
        <v>290</v>
      </c>
      <c r="F6" s="6" t="inlineStr">
        <is>
          <t>Member Guest Rate</t>
        </is>
      </c>
      <c r="G6" s="6" t="inlineStr"/>
      <c r="H6" s="6" t="inlineStr">
        <is>
          <t>Cart Included</t>
        </is>
      </c>
    </row>
    <row r="7">
      <c r="A7" s="10" t="inlineStr">
        <is>
          <t>Sandpiper GC</t>
        </is>
      </c>
      <c r="B7" s="7" t="n">
        <v>130</v>
      </c>
      <c r="C7" s="7" t="n">
        <v>245</v>
      </c>
      <c r="D7" s="8" t="n">
        <v>88.5</v>
      </c>
      <c r="E7" s="9" t="n">
        <v>115</v>
      </c>
      <c r="F7" s="10" t="inlineStr">
        <is>
          <t>UnderPar.com Deal</t>
        </is>
      </c>
      <c r="G7" s="10" t="inlineStr"/>
      <c r="H7" s="10" t="inlineStr">
        <is>
          <t>Free Replay (+$245)</t>
        </is>
      </c>
    </row>
    <row r="8">
      <c r="A8" s="6" t="inlineStr">
        <is>
          <t>Hidden Valley GC</t>
        </is>
      </c>
      <c r="B8" s="7" t="n">
        <v>109</v>
      </c>
      <c r="C8" s="7" t="n">
        <v>109</v>
      </c>
      <c r="D8" s="8" t="n">
        <v>0</v>
      </c>
      <c r="E8" s="9" t="n">
        <v>0</v>
      </c>
      <c r="F8" s="6" t="inlineStr">
        <is>
          <t>Weekend Prime Morning</t>
        </is>
      </c>
      <c r="G8" s="6" t="inlineStr"/>
      <c r="H8" s="6" t="inlineStr">
        <is>
          <t>9 Stamps = 1 Free ($12.11/stamp)</t>
        </is>
      </c>
    </row>
    <row r="10">
      <c r="A10" s="3" t="inlineStr">
        <is>
          <t>🏨 HOTELS — 숙박 (1인 1박, USD)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호텔명 (Hotel)</t>
        </is>
      </c>
      <c r="B11" s="5" t="inlineStr">
        <is>
          <t>원가 (Cost)</t>
        </is>
      </c>
      <c r="C11" s="5" t="inlineStr">
        <is>
          <t>판매가 (Sell)</t>
        </is>
      </c>
      <c r="D11" s="5" t="inlineStr">
        <is>
          <t>마진율 (Margin%)</t>
        </is>
      </c>
      <c r="E11" s="5" t="inlineStr">
        <is>
          <t>단위마진</t>
        </is>
      </c>
      <c r="F11" s="5" t="inlineStr">
        <is>
          <t>특이사항</t>
        </is>
      </c>
      <c r="G11" s="5" t="inlineStr">
        <is>
          <t>인원비율 (Ratio)</t>
        </is>
      </c>
      <c r="H11" s="5" t="inlineStr">
        <is>
          <t>비율 설명</t>
        </is>
      </c>
    </row>
    <row r="12">
      <c r="A12" s="6" t="inlineStr">
        <is>
          <t>Beverly Wilshire</t>
        </is>
      </c>
      <c r="B12" s="7" t="n">
        <v>200</v>
      </c>
      <c r="C12" s="7" t="n">
        <v>275</v>
      </c>
      <c r="D12" s="8" t="n">
        <v>37.5</v>
      </c>
      <c r="E12" s="9" t="n">
        <v>75</v>
      </c>
      <c r="F12" s="6" t="inlineStr">
        <is>
          <t>Per Person/Night (2-sharing)</t>
        </is>
      </c>
      <c r="G12" s="11" t="inlineStr">
        <is>
          <t>1:2</t>
        </is>
      </c>
      <c r="H12" s="6" t="inlineStr">
        <is>
          <t>1인당 / 2인1실 기준</t>
        </is>
      </c>
    </row>
    <row r="13">
      <c r="A13" s="10" t="inlineStr">
        <is>
          <t>Budget Option</t>
        </is>
      </c>
      <c r="B13" s="7" t="n">
        <v>90</v>
      </c>
      <c r="C13" s="7" t="n">
        <v>140</v>
      </c>
      <c r="D13" s="8" t="n">
        <v>55.6</v>
      </c>
      <c r="E13" s="9" t="n">
        <v>50</v>
      </c>
      <c r="F13" s="10" t="inlineStr">
        <is>
          <t>Per Person/Night</t>
        </is>
      </c>
      <c r="G13" s="11" t="inlineStr">
        <is>
          <t>1:2</t>
        </is>
      </c>
      <c r="H13" s="10" t="inlineStr">
        <is>
          <t>1인당</t>
        </is>
      </c>
    </row>
    <row r="15">
      <c r="A15" s="3" t="inlineStr">
        <is>
          <t>🚗 DRIVER — 전용 차량 &amp; 기사 (1인 1일, USD)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서비스명</t>
        </is>
      </c>
      <c r="B16" s="5" t="inlineStr">
        <is>
          <t>원가 (Cost)</t>
        </is>
      </c>
      <c r="C16" s="5" t="inlineStr">
        <is>
          <t>판매가 (Sell)</t>
        </is>
      </c>
      <c r="D16" s="5" t="inlineStr">
        <is>
          <t>마진율 (Margin%)</t>
        </is>
      </c>
      <c r="E16" s="5" t="inlineStr">
        <is>
          <t>단위마진</t>
        </is>
      </c>
      <c r="F16" s="5" t="inlineStr">
        <is>
          <t>특이사항</t>
        </is>
      </c>
      <c r="G16" s="5" t="inlineStr">
        <is>
          <t>인원비율 (Ratio)</t>
        </is>
      </c>
      <c r="H16" s="5" t="inlineStr">
        <is>
          <t>비율 설명</t>
        </is>
      </c>
    </row>
    <row r="17">
      <c r="A17" s="6" t="inlineStr">
        <is>
          <t>Private Driver</t>
        </is>
      </c>
      <c r="B17" s="7" t="n">
        <v>80</v>
      </c>
      <c r="C17" s="7" t="n">
        <v>125</v>
      </c>
      <c r="D17" s="8" t="n">
        <v>56.2</v>
      </c>
      <c r="E17" s="9" t="n">
        <v>45</v>
      </c>
      <c r="F17" s="6" t="inlineStr">
        <is>
          <t>Per Person/Day (4-sharing)</t>
        </is>
      </c>
      <c r="G17" s="11" t="inlineStr">
        <is>
          <t>1:4</t>
        </is>
      </c>
      <c r="H17" s="6" t="inlineStr">
        <is>
          <t>1인당 / 4인 기준</t>
        </is>
      </c>
    </row>
    <row r="19">
      <c r="A19" s="3" t="inlineStr">
        <is>
          <t>🍽 MEALS — 식사 (1인 1식, USD)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식사 종류</t>
        </is>
      </c>
      <c r="B20" s="5" t="inlineStr">
        <is>
          <t>원가 (Cost)</t>
        </is>
      </c>
      <c r="C20" s="5" t="inlineStr">
        <is>
          <t>판매가 (Sell)</t>
        </is>
      </c>
      <c r="D20" s="5" t="inlineStr">
        <is>
          <t>마진율 (Margin%)</t>
        </is>
      </c>
      <c r="E20" s="5" t="inlineStr">
        <is>
          <t>단위마진</t>
        </is>
      </c>
      <c r="F20" s="5" t="inlineStr">
        <is>
          <t>특이사항</t>
        </is>
      </c>
      <c r="G20" s="5" t="inlineStr">
        <is>
          <t>적용 (☑)</t>
        </is>
      </c>
      <c r="H20" s="5" t="inlineStr">
        <is>
          <t>비고</t>
        </is>
      </c>
    </row>
    <row r="21">
      <c r="A21" s="6" t="inlineStr">
        <is>
          <t>Welcome Dinner</t>
        </is>
      </c>
      <c r="B21" s="7" t="n">
        <v>35</v>
      </c>
      <c r="C21" s="7" t="n">
        <v>55</v>
      </c>
      <c r="D21" s="8" t="n">
        <v>57.1</v>
      </c>
      <c r="E21" s="9" t="n">
        <v>20</v>
      </c>
      <c r="F21" s="6" t="inlineStr">
        <is>
          <t>Per Person</t>
        </is>
      </c>
      <c r="G21" s="11" t="inlineStr">
        <is>
          <t>✓</t>
        </is>
      </c>
      <c r="H21" s="6" t="inlineStr"/>
    </row>
    <row r="22">
      <c r="A22" s="10" t="inlineStr">
        <is>
          <t>Standard Meal</t>
        </is>
      </c>
      <c r="B22" s="7" t="n">
        <v>20</v>
      </c>
      <c r="C22" s="7" t="n">
        <v>35</v>
      </c>
      <c r="D22" s="8" t="n">
        <v>75</v>
      </c>
      <c r="E22" s="9" t="n">
        <v>15</v>
      </c>
      <c r="F22" s="10" t="inlineStr">
        <is>
          <t>Per Person/Meal</t>
        </is>
      </c>
      <c r="G22" s="11" t="inlineStr">
        <is>
          <t>✓</t>
        </is>
      </c>
      <c r="H22" s="10" t="inlineStr"/>
    </row>
    <row r="23">
      <c r="A23" s="6" t="inlineStr">
        <is>
          <t>Farewell Dinner</t>
        </is>
      </c>
      <c r="B23" s="7" t="n">
        <v>45</v>
      </c>
      <c r="C23" s="7" t="n">
        <v>70</v>
      </c>
      <c r="D23" s="8" t="n">
        <v>55.6</v>
      </c>
      <c r="E23" s="9" t="n">
        <v>25</v>
      </c>
      <c r="F23" s="6" t="inlineStr">
        <is>
          <t>Per Person</t>
        </is>
      </c>
      <c r="G23" s="11" t="inlineStr">
        <is>
          <t>✓</t>
        </is>
      </c>
      <c r="H23" s="6" t="inlineStr"/>
    </row>
    <row r="25">
      <c r="A25" s="3" t="inlineStr">
        <is>
          <t>📋 MISC — 기타 서비스 (1인당, USD)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항목</t>
        </is>
      </c>
      <c r="B26" s="5" t="inlineStr">
        <is>
          <t>원가 (Cost)</t>
        </is>
      </c>
      <c r="C26" s="5" t="inlineStr">
        <is>
          <t>판매가 (Sell)</t>
        </is>
      </c>
      <c r="D26" s="5" t="inlineStr">
        <is>
          <t>마진율 (Margin%)</t>
        </is>
      </c>
      <c r="E26" s="5" t="inlineStr">
        <is>
          <t>단위마진</t>
        </is>
      </c>
      <c r="F26" s="5" t="inlineStr">
        <is>
          <t>특이사항</t>
        </is>
      </c>
      <c r="G26" s="5" t="inlineStr">
        <is>
          <t>적용 (☑)</t>
        </is>
      </c>
      <c r="H26" s="5" t="inlineStr">
        <is>
          <t>비고</t>
        </is>
      </c>
    </row>
    <row r="27">
      <c r="A27" s="6" t="inlineStr">
        <is>
          <t>Airport Transfer</t>
        </is>
      </c>
      <c r="B27" s="7" t="n">
        <v>30</v>
      </c>
      <c r="C27" s="7" t="n">
        <v>50</v>
      </c>
      <c r="D27" s="8" t="n">
        <v>66.7</v>
      </c>
      <c r="E27" s="9" t="n">
        <v>20</v>
      </c>
      <c r="F27" s="6" t="inlineStr">
        <is>
          <t>Per Person</t>
        </is>
      </c>
      <c r="G27" s="11" t="inlineStr">
        <is>
          <t>✓</t>
        </is>
      </c>
      <c r="H27" s="6" t="inlineStr"/>
    </row>
    <row r="28">
      <c r="A28" s="10" t="inlineStr">
        <is>
          <t>Trip Insurance</t>
        </is>
      </c>
      <c r="B28" s="7" t="n">
        <v>15</v>
      </c>
      <c r="C28" s="7" t="n">
        <v>25</v>
      </c>
      <c r="D28" s="8" t="n">
        <v>66.7</v>
      </c>
      <c r="E28" s="9" t="n">
        <v>10</v>
      </c>
      <c r="F28" s="10" t="inlineStr">
        <is>
          <t>Per Person</t>
        </is>
      </c>
      <c r="G28" s="11" t="inlineStr">
        <is>
          <t>✓</t>
        </is>
      </c>
      <c r="H28" s="10" t="inlineStr"/>
    </row>
    <row r="29">
      <c r="A29" s="6" t="inlineStr">
        <is>
          <t>Welcome Kit</t>
        </is>
      </c>
      <c r="B29" s="7" t="n">
        <v>10</v>
      </c>
      <c r="C29" s="7" t="n">
        <v>20</v>
      </c>
      <c r="D29" s="8" t="n">
        <v>100</v>
      </c>
      <c r="E29" s="9" t="n">
        <v>10</v>
      </c>
      <c r="F29" s="6" t="inlineStr">
        <is>
          <t>Per Person</t>
        </is>
      </c>
      <c r="G29" s="11" t="inlineStr">
        <is>
          <t>✓</t>
        </is>
      </c>
      <c r="H29" s="6" t="inlineStr"/>
    </row>
    <row r="31">
      <c r="A31" s="3" t="inlineStr">
        <is>
          <t>📐 계산 공식 (Calculation Formula)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12" t="inlineStr">
        <is>
          <t>단위마진 = 판매가(Sell) − 원가(Cost)    |    마진율(%) = (판매가 − 원가) ÷ 원가 × 100    |    판매가 = 원가 × (1 + 마진율)</t>
        </is>
      </c>
    </row>
    <row r="33">
      <c r="A33" s="2" t="inlineStr">
        <is>
          <t>🟡 노란색 셀 = 수동 입력 가능    🔵 파란색 셀 = 자동 계산 (수정 불가)    ☑ = 패키지에 포함할지 선택</t>
        </is>
      </c>
    </row>
  </sheetData>
  <mergeCells count="10">
    <mergeCell ref="A4:H4"/>
    <mergeCell ref="A15:H15"/>
    <mergeCell ref="A25:H25"/>
    <mergeCell ref="A2:H2"/>
    <mergeCell ref="A10:H10"/>
    <mergeCell ref="A19:H19"/>
    <mergeCell ref="A33:H33"/>
    <mergeCell ref="A1:H1"/>
    <mergeCell ref="A32:H32"/>
    <mergeCell ref="A31:H31"/>
  </mergeCells>
  <dataValidations count="1">
    <dataValidation sqref="G2:G33" showDropDown="0" showInputMessage="0" showErrorMessage="0" allowBlank="1" errorTitle="입력 오류" error="✓ 또는 ✗ 선택" type="list">
      <formula1>"✓,✗"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28" customWidth="1" min="4" max="4"/>
    <col width="6" customWidth="1" min="5" max="5"/>
    <col width="6" customWidth="1" min="6" max="6"/>
    <col width="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28" customWidth="1" min="22" max="22"/>
  </cols>
  <sheetData>
    <row r="1">
      <c r="A1" s="1" t="inlineStr">
        <is>
          <t>📦 LA GOLF PACKAGES — 12종 패키지 (1인 기준, USD)</t>
        </is>
      </c>
    </row>
    <row r="2">
      <c r="A2" s="2" t="inlineStr">
        <is>
          <t>🔗 Master Data 시트의 Cost/Sell을 변경하면 이 시트에 자동 반영됩니다</t>
        </is>
      </c>
    </row>
    <row r="4">
      <c r="A4" s="5" t="inlineStr">
        <is>
          <t>No</t>
        </is>
      </c>
      <c r="B4" s="5" t="inlineStr">
        <is>
          <t>ID</t>
        </is>
      </c>
      <c r="C4" s="5" t="inlineStr">
        <is>
          <t>일정</t>
        </is>
      </c>
      <c r="D4" s="5" t="inlineStr">
        <is>
          <t>패키지명</t>
        </is>
      </c>
      <c r="E4" s="5" t="inlineStr">
        <is>
          <t>박</t>
        </is>
      </c>
      <c r="F4" s="5" t="inlineStr">
        <is>
          <t>일</t>
        </is>
      </c>
      <c r="G4" s="5" t="inlineStr">
        <is>
          <t>Rds</t>
        </is>
      </c>
      <c r="H4" s="5" t="inlineStr">
        <is>
          <t>Trump</t>
        </is>
      </c>
      <c r="I4" s="5" t="inlineStr">
        <is>
          <t>Sandpiper</t>
        </is>
      </c>
      <c r="J4" s="5" t="inlineStr">
        <is>
          <t>Hidden V</t>
        </is>
      </c>
      <c r="K4" s="5" t="inlineStr">
        <is>
          <t>Golf C</t>
        </is>
      </c>
      <c r="L4" s="5" t="inlineStr">
        <is>
          <t>Golf S</t>
        </is>
      </c>
      <c r="M4" s="5" t="inlineStr">
        <is>
          <t>Golf M</t>
        </is>
      </c>
      <c r="N4" s="5" t="inlineStr">
        <is>
          <t>Hotel C</t>
        </is>
      </c>
      <c r="O4" s="5" t="inlineStr">
        <is>
          <t>Hotel S</t>
        </is>
      </c>
      <c r="P4" s="5" t="inlineStr">
        <is>
          <t>Hotel M</t>
        </is>
      </c>
      <c r="Q4" s="5" t="inlineStr">
        <is>
          <t>Driver C</t>
        </is>
      </c>
      <c r="R4" s="5" t="inlineStr">
        <is>
          <t>Driver S</t>
        </is>
      </c>
      <c r="S4" s="5" t="inlineStr">
        <is>
          <t>Driver M</t>
        </is>
      </c>
      <c r="T4" s="5" t="inlineStr">
        <is>
          <t>Meal C</t>
        </is>
      </c>
      <c r="U4" s="5" t="inlineStr">
        <is>
          <t>Meal S</t>
        </is>
      </c>
      <c r="V4" s="5" t="inlineStr">
        <is>
          <t>Meal M</t>
        </is>
      </c>
      <c r="W4" s="5" t="inlineStr">
        <is>
          <t>Misc C</t>
        </is>
      </c>
      <c r="X4" s="5" t="inlineStr">
        <is>
          <t>Misc S</t>
        </is>
      </c>
      <c r="Y4" s="5" t="inlineStr">
        <is>
          <t>Misc M</t>
        </is>
      </c>
      <c r="Z4" s="5" t="inlineStr">
        <is>
          <t>총원가</t>
        </is>
      </c>
      <c r="AA4" s="5" t="inlineStr">
        <is>
          <t>총판매</t>
        </is>
      </c>
      <c r="AB4" s="5" t="inlineStr">
        <is>
          <t>총마진</t>
        </is>
      </c>
      <c r="AC4" s="5" t="inlineStr">
        <is>
          <t>마진율</t>
        </is>
      </c>
      <c r="AD4" s="5" t="inlineStr">
        <is>
          <t>비고</t>
        </is>
      </c>
    </row>
    <row r="5">
      <c r="A5" s="6" t="n">
        <v>1</v>
      </c>
      <c r="B5" s="6" t="inlineStr">
        <is>
          <t>A1</t>
        </is>
      </c>
      <c r="C5" s="6" t="inlineStr">
        <is>
          <t>3박 4일</t>
        </is>
      </c>
      <c r="D5" s="6" t="inlineStr">
        <is>
          <t>트럼프 익스클루시브</t>
        </is>
      </c>
      <c r="E5" s="6" t="n">
        <v>3</v>
      </c>
      <c r="F5" s="6" t="n">
        <v>4</v>
      </c>
      <c r="G5" s="6" t="n">
        <v>2</v>
      </c>
      <c r="H5" s="6" t="n">
        <v>2</v>
      </c>
      <c r="I5" s="6" t="n">
        <v>0</v>
      </c>
      <c r="J5" s="13" t="n">
        <v>0</v>
      </c>
      <c r="K5" s="13" t="n">
        <v>420</v>
      </c>
      <c r="L5" s="9" t="n">
        <v>1000</v>
      </c>
      <c r="M5" s="13" t="n">
        <v>580</v>
      </c>
      <c r="N5" s="13" t="n">
        <v>600</v>
      </c>
      <c r="O5" s="9" t="n">
        <v>825</v>
      </c>
      <c r="P5" s="13" t="n">
        <v>225</v>
      </c>
      <c r="Q5" s="13" t="n">
        <v>320</v>
      </c>
      <c r="R5" s="9" t="n">
        <v>500</v>
      </c>
      <c r="S5" s="13" t="n">
        <v>180</v>
      </c>
      <c r="T5" s="13" t="n">
        <v>133</v>
      </c>
      <c r="U5" s="9" t="n">
        <v>213</v>
      </c>
      <c r="V5" s="13" t="n">
        <v>80</v>
      </c>
      <c r="W5" s="13" t="n">
        <v>55</v>
      </c>
      <c r="X5" s="9" t="n">
        <v>95</v>
      </c>
      <c r="Y5" s="13" t="n">
        <v>40</v>
      </c>
      <c r="Z5" s="13" t="n">
        <v>1528</v>
      </c>
      <c r="AA5" s="13" t="n">
        <v>2633</v>
      </c>
      <c r="AB5" s="14" t="n">
        <v>1105</v>
      </c>
      <c r="AC5" s="15" t="n">
        <v>72.3</v>
      </c>
      <c r="AD5" s="6" t="inlineStr"/>
    </row>
    <row r="6">
      <c r="A6" s="10" t="n">
        <v>2</v>
      </c>
      <c r="B6" s="10" t="inlineStr">
        <is>
          <t>A2</t>
        </is>
      </c>
      <c r="C6" s="10" t="inlineStr">
        <is>
          <t>3박 4일</t>
        </is>
      </c>
      <c r="D6" s="10" t="inlineStr">
        <is>
          <t>트럼프 + 샌드파이퍼 오션뷰</t>
        </is>
      </c>
      <c r="E6" s="10" t="n">
        <v>3</v>
      </c>
      <c r="F6" s="10" t="n">
        <v>4</v>
      </c>
      <c r="G6" s="10" t="n">
        <v>2</v>
      </c>
      <c r="H6" s="10" t="n">
        <v>1</v>
      </c>
      <c r="I6" s="10" t="n">
        <v>1</v>
      </c>
      <c r="J6" s="13" t="n">
        <v>0</v>
      </c>
      <c r="K6" s="13" t="n">
        <v>340</v>
      </c>
      <c r="L6" s="9" t="n">
        <v>745</v>
      </c>
      <c r="M6" s="13" t="n">
        <v>405</v>
      </c>
      <c r="N6" s="13" t="n">
        <v>600</v>
      </c>
      <c r="O6" s="9" t="n">
        <v>825</v>
      </c>
      <c r="P6" s="13" t="n">
        <v>225</v>
      </c>
      <c r="Q6" s="13" t="n">
        <v>320</v>
      </c>
      <c r="R6" s="9" t="n">
        <v>500</v>
      </c>
      <c r="S6" s="13" t="n">
        <v>180</v>
      </c>
      <c r="T6" s="13" t="n">
        <v>133</v>
      </c>
      <c r="U6" s="9" t="n">
        <v>213</v>
      </c>
      <c r="V6" s="13" t="n">
        <v>80</v>
      </c>
      <c r="W6" s="13" t="n">
        <v>55</v>
      </c>
      <c r="X6" s="9" t="n">
        <v>95</v>
      </c>
      <c r="Y6" s="13" t="n">
        <v>40</v>
      </c>
      <c r="Z6" s="13" t="n">
        <v>1448</v>
      </c>
      <c r="AA6" s="13" t="n">
        <v>2378</v>
      </c>
      <c r="AB6" s="14" t="n">
        <v>930</v>
      </c>
      <c r="AC6" s="16" t="n">
        <v>64.2</v>
      </c>
      <c r="AD6" s="10" t="inlineStr">
        <is>
          <t xml:space="preserve">Sandpiper 리플레이 시 +$245 </t>
        </is>
      </c>
    </row>
    <row r="7">
      <c r="A7" s="6" t="n">
        <v>3</v>
      </c>
      <c r="B7" s="6" t="inlineStr">
        <is>
          <t>A3</t>
        </is>
      </c>
      <c r="C7" s="6" t="inlineStr">
        <is>
          <t>3박 4일</t>
        </is>
      </c>
      <c r="D7" s="6" t="inlineStr">
        <is>
          <t>트럼프 + 히든밸리 밸리뷰</t>
        </is>
      </c>
      <c r="E7" s="6" t="n">
        <v>3</v>
      </c>
      <c r="F7" s="6" t="n">
        <v>4</v>
      </c>
      <c r="G7" s="6" t="n">
        <v>2</v>
      </c>
      <c r="H7" s="6" t="n">
        <v>1</v>
      </c>
      <c r="I7" s="6" t="n">
        <v>0</v>
      </c>
      <c r="J7" s="13" t="n">
        <v>1</v>
      </c>
      <c r="K7" s="13" t="n">
        <v>319</v>
      </c>
      <c r="L7" s="9" t="n">
        <v>609</v>
      </c>
      <c r="M7" s="13" t="n">
        <v>290</v>
      </c>
      <c r="N7" s="13" t="n">
        <v>600</v>
      </c>
      <c r="O7" s="9" t="n">
        <v>825</v>
      </c>
      <c r="P7" s="13" t="n">
        <v>225</v>
      </c>
      <c r="Q7" s="13" t="n">
        <v>320</v>
      </c>
      <c r="R7" s="9" t="n">
        <v>500</v>
      </c>
      <c r="S7" s="13" t="n">
        <v>180</v>
      </c>
      <c r="T7" s="13" t="n">
        <v>133</v>
      </c>
      <c r="U7" s="9" t="n">
        <v>213</v>
      </c>
      <c r="V7" s="13" t="n">
        <v>80</v>
      </c>
      <c r="W7" s="13" t="n">
        <v>55</v>
      </c>
      <c r="X7" s="9" t="n">
        <v>95</v>
      </c>
      <c r="Y7" s="13" t="n">
        <v>40</v>
      </c>
      <c r="Z7" s="13" t="n">
        <v>1427</v>
      </c>
      <c r="AA7" s="13" t="n">
        <v>2242</v>
      </c>
      <c r="AB7" s="14" t="n">
        <v>815</v>
      </c>
      <c r="AC7" s="15" t="n">
        <v>57.1</v>
      </c>
      <c r="AD7" s="6" t="inlineStr">
        <is>
          <t>HV 스탬프 1개 ($12 적립)</t>
        </is>
      </c>
    </row>
    <row r="8">
      <c r="A8" s="10" t="n">
        <v>4</v>
      </c>
      <c r="B8" s="10" t="inlineStr">
        <is>
          <t>A4</t>
        </is>
      </c>
      <c r="C8" s="10" t="inlineStr">
        <is>
          <t>3박 4일</t>
        </is>
      </c>
      <c r="D8" s="10" t="inlineStr">
        <is>
          <t>트럼프 인텐시브 + LA관광</t>
        </is>
      </c>
      <c r="E8" s="10" t="n">
        <v>3</v>
      </c>
      <c r="F8" s="10" t="n">
        <v>4</v>
      </c>
      <c r="G8" s="10" t="n">
        <v>2</v>
      </c>
      <c r="H8" s="10" t="n">
        <v>2</v>
      </c>
      <c r="I8" s="10" t="n">
        <v>0</v>
      </c>
      <c r="J8" s="13" t="n">
        <v>0</v>
      </c>
      <c r="K8" s="13" t="n">
        <v>420</v>
      </c>
      <c r="L8" s="9" t="n">
        <v>1000</v>
      </c>
      <c r="M8" s="13" t="n">
        <v>580</v>
      </c>
      <c r="N8" s="13" t="n">
        <v>600</v>
      </c>
      <c r="O8" s="9" t="n">
        <v>825</v>
      </c>
      <c r="P8" s="13" t="n">
        <v>225</v>
      </c>
      <c r="Q8" s="13" t="n">
        <v>320</v>
      </c>
      <c r="R8" s="9" t="n">
        <v>500</v>
      </c>
      <c r="S8" s="13" t="n">
        <v>180</v>
      </c>
      <c r="T8" s="13" t="n">
        <v>100</v>
      </c>
      <c r="U8" s="9" t="n">
        <v>160</v>
      </c>
      <c r="V8" s="13" t="n">
        <v>60</v>
      </c>
      <c r="W8" s="13" t="n">
        <v>55</v>
      </c>
      <c r="X8" s="9" t="n">
        <v>95</v>
      </c>
      <c r="Y8" s="13" t="n">
        <v>40</v>
      </c>
      <c r="Z8" s="13" t="n">
        <v>1495</v>
      </c>
      <c r="AA8" s="13" t="n">
        <v>2580</v>
      </c>
      <c r="AB8" s="14" t="n">
        <v>1085</v>
      </c>
      <c r="AC8" s="16" t="n">
        <v>72.59999999999999</v>
      </c>
      <c r="AD8" s="10" t="inlineStr"/>
    </row>
    <row r="9">
      <c r="A9" s="6" t="n">
        <v>5</v>
      </c>
      <c r="B9" s="6" t="inlineStr">
        <is>
          <t>B1</t>
        </is>
      </c>
      <c r="C9" s="6" t="inlineStr">
        <is>
          <t>5박 7일</t>
        </is>
      </c>
      <c r="D9" s="6" t="inlineStr">
        <is>
          <t>트럼프 그랜드슬램</t>
        </is>
      </c>
      <c r="E9" s="6" t="n">
        <v>5</v>
      </c>
      <c r="F9" s="6" t="n">
        <v>7</v>
      </c>
      <c r="G9" s="6" t="n">
        <v>4</v>
      </c>
      <c r="H9" s="6" t="n">
        <v>4</v>
      </c>
      <c r="I9" s="6" t="n">
        <v>0</v>
      </c>
      <c r="J9" s="13" t="n">
        <v>0</v>
      </c>
      <c r="K9" s="13" t="n">
        <v>840</v>
      </c>
      <c r="L9" s="9" t="n">
        <v>2000</v>
      </c>
      <c r="M9" s="13" t="n">
        <v>1160</v>
      </c>
      <c r="N9" s="13" t="n">
        <v>1000</v>
      </c>
      <c r="O9" s="9" t="n">
        <v>1375</v>
      </c>
      <c r="P9" s="13" t="n">
        <v>375</v>
      </c>
      <c r="Q9" s="13" t="n">
        <v>560</v>
      </c>
      <c r="R9" s="9" t="n">
        <v>875</v>
      </c>
      <c r="S9" s="13" t="n">
        <v>315</v>
      </c>
      <c r="T9" s="13" t="n">
        <v>233</v>
      </c>
      <c r="U9" s="9" t="n">
        <v>373</v>
      </c>
      <c r="V9" s="13" t="n">
        <v>140</v>
      </c>
      <c r="W9" s="13" t="n">
        <v>55</v>
      </c>
      <c r="X9" s="9" t="n">
        <v>95</v>
      </c>
      <c r="Y9" s="13" t="n">
        <v>40</v>
      </c>
      <c r="Z9" s="13" t="n">
        <v>2688</v>
      </c>
      <c r="AA9" s="13" t="n">
        <v>4718</v>
      </c>
      <c r="AB9" s="14" t="n">
        <v>2030</v>
      </c>
      <c r="AC9" s="15" t="n">
        <v>75.5</v>
      </c>
      <c r="AD9" s="6" t="inlineStr"/>
    </row>
    <row r="10">
      <c r="A10" s="10" t="n">
        <v>6</v>
      </c>
      <c r="B10" s="10" t="inlineStr">
        <is>
          <t>B2</t>
        </is>
      </c>
      <c r="C10" s="10" t="inlineStr">
        <is>
          <t>5박 7일</t>
        </is>
      </c>
      <c r="D10" s="10" t="inlineStr">
        <is>
          <t>트럼프 + 샌드파이퍼 컴플리트</t>
        </is>
      </c>
      <c r="E10" s="10" t="n">
        <v>5</v>
      </c>
      <c r="F10" s="10" t="n">
        <v>7</v>
      </c>
      <c r="G10" s="10" t="n">
        <v>4</v>
      </c>
      <c r="H10" s="10" t="n">
        <v>2</v>
      </c>
      <c r="I10" s="10" t="n">
        <v>2</v>
      </c>
      <c r="J10" s="13" t="n">
        <v>0</v>
      </c>
      <c r="K10" s="13" t="n">
        <v>680</v>
      </c>
      <c r="L10" s="9" t="n">
        <v>1490</v>
      </c>
      <c r="M10" s="13" t="n">
        <v>810</v>
      </c>
      <c r="N10" s="13" t="n">
        <v>1000</v>
      </c>
      <c r="O10" s="9" t="n">
        <v>1375</v>
      </c>
      <c r="P10" s="13" t="n">
        <v>375</v>
      </c>
      <c r="Q10" s="13" t="n">
        <v>560</v>
      </c>
      <c r="R10" s="9" t="n">
        <v>875</v>
      </c>
      <c r="S10" s="13" t="n">
        <v>315</v>
      </c>
      <c r="T10" s="13" t="n">
        <v>233</v>
      </c>
      <c r="U10" s="9" t="n">
        <v>373</v>
      </c>
      <c r="V10" s="13" t="n">
        <v>140</v>
      </c>
      <c r="W10" s="13" t="n">
        <v>55</v>
      </c>
      <c r="X10" s="9" t="n">
        <v>95</v>
      </c>
      <c r="Y10" s="13" t="n">
        <v>40</v>
      </c>
      <c r="Z10" s="13" t="n">
        <v>2528</v>
      </c>
      <c r="AA10" s="13" t="n">
        <v>4208</v>
      </c>
      <c r="AB10" s="14" t="n">
        <v>1680</v>
      </c>
      <c r="AC10" s="16" t="n">
        <v>66.5</v>
      </c>
      <c r="AD10" s="10" t="inlineStr">
        <is>
          <t xml:space="preserve">Sandpiper 리플레이 시 +$245 </t>
        </is>
      </c>
    </row>
    <row r="11">
      <c r="A11" s="6" t="n">
        <v>7</v>
      </c>
      <c r="B11" s="6" t="inlineStr">
        <is>
          <t>B3</t>
        </is>
      </c>
      <c r="C11" s="6" t="inlineStr">
        <is>
          <t>5박 7일</t>
        </is>
      </c>
      <c r="D11" s="6" t="inlineStr">
        <is>
          <t>트럼프 + 샌드파이퍼 + 히든밸리</t>
        </is>
      </c>
      <c r="E11" s="6" t="n">
        <v>5</v>
      </c>
      <c r="F11" s="6" t="n">
        <v>7</v>
      </c>
      <c r="G11" s="6" t="n">
        <v>4</v>
      </c>
      <c r="H11" s="6" t="n">
        <v>2</v>
      </c>
      <c r="I11" s="6" t="n">
        <v>1</v>
      </c>
      <c r="J11" s="13" t="n">
        <v>1</v>
      </c>
      <c r="K11" s="13" t="n">
        <v>659</v>
      </c>
      <c r="L11" s="9" t="n">
        <v>1354</v>
      </c>
      <c r="M11" s="13" t="n">
        <v>695</v>
      </c>
      <c r="N11" s="13" t="n">
        <v>1000</v>
      </c>
      <c r="O11" s="9" t="n">
        <v>1375</v>
      </c>
      <c r="P11" s="13" t="n">
        <v>375</v>
      </c>
      <c r="Q11" s="13" t="n">
        <v>560</v>
      </c>
      <c r="R11" s="9" t="n">
        <v>875</v>
      </c>
      <c r="S11" s="13" t="n">
        <v>315</v>
      </c>
      <c r="T11" s="13" t="n">
        <v>233</v>
      </c>
      <c r="U11" s="9" t="n">
        <v>373</v>
      </c>
      <c r="V11" s="13" t="n">
        <v>140</v>
      </c>
      <c r="W11" s="13" t="n">
        <v>55</v>
      </c>
      <c r="X11" s="9" t="n">
        <v>95</v>
      </c>
      <c r="Y11" s="13" t="n">
        <v>40</v>
      </c>
      <c r="Z11" s="13" t="n">
        <v>2507</v>
      </c>
      <c r="AA11" s="13" t="n">
        <v>4072</v>
      </c>
      <c r="AB11" s="14" t="n">
        <v>1565</v>
      </c>
      <c r="AC11" s="15" t="n">
        <v>62.4</v>
      </c>
      <c r="AD11" s="6" t="inlineStr">
        <is>
          <t>Sandpiper 리플레이 시 +$245 HV 스탬프 1개 ($12 적립)</t>
        </is>
      </c>
    </row>
    <row r="12">
      <c r="A12" s="10" t="n">
        <v>8</v>
      </c>
      <c r="B12" s="10" t="inlineStr">
        <is>
          <t>B4</t>
        </is>
      </c>
      <c r="C12" s="10" t="inlineStr">
        <is>
          <t>5박 7일</t>
        </is>
      </c>
      <c r="D12" s="10" t="inlineStr">
        <is>
          <t>캘리포니아 골프 익스플로러</t>
        </is>
      </c>
      <c r="E12" s="10" t="n">
        <v>5</v>
      </c>
      <c r="F12" s="10" t="n">
        <v>7</v>
      </c>
      <c r="G12" s="10" t="n">
        <v>4</v>
      </c>
      <c r="H12" s="10" t="n">
        <v>1</v>
      </c>
      <c r="I12" s="10" t="n">
        <v>2</v>
      </c>
      <c r="J12" s="13" t="n">
        <v>1</v>
      </c>
      <c r="K12" s="13" t="n">
        <v>579</v>
      </c>
      <c r="L12" s="9" t="n">
        <v>1099</v>
      </c>
      <c r="M12" s="13" t="n">
        <v>520</v>
      </c>
      <c r="N12" s="13" t="n">
        <v>1000</v>
      </c>
      <c r="O12" s="9" t="n">
        <v>1375</v>
      </c>
      <c r="P12" s="13" t="n">
        <v>375</v>
      </c>
      <c r="Q12" s="13" t="n">
        <v>560</v>
      </c>
      <c r="R12" s="9" t="n">
        <v>875</v>
      </c>
      <c r="S12" s="13" t="n">
        <v>315</v>
      </c>
      <c r="T12" s="13" t="n">
        <v>233</v>
      </c>
      <c r="U12" s="9" t="n">
        <v>373</v>
      </c>
      <c r="V12" s="13" t="n">
        <v>140</v>
      </c>
      <c r="W12" s="13" t="n">
        <v>55</v>
      </c>
      <c r="X12" s="9" t="n">
        <v>95</v>
      </c>
      <c r="Y12" s="13" t="n">
        <v>40</v>
      </c>
      <c r="Z12" s="13" t="n">
        <v>2427</v>
      </c>
      <c r="AA12" s="13" t="n">
        <v>3817</v>
      </c>
      <c r="AB12" s="14" t="n">
        <v>1390</v>
      </c>
      <c r="AC12" s="16" t="n">
        <v>57.3</v>
      </c>
      <c r="AD12" s="10" t="inlineStr">
        <is>
          <t>Sandpiper 리플레이 시 +$245 HV 스탬프 1개 ($12 적립)</t>
        </is>
      </c>
    </row>
    <row r="13">
      <c r="A13" s="6" t="n">
        <v>9</v>
      </c>
      <c r="B13" s="6" t="inlineStr">
        <is>
          <t>C1</t>
        </is>
      </c>
      <c r="C13" s="6" t="inlineStr">
        <is>
          <t>7박 8일</t>
        </is>
      </c>
      <c r="D13" s="6" t="inlineStr">
        <is>
          <t>트럼프 얼티밋</t>
        </is>
      </c>
      <c r="E13" s="6" t="n">
        <v>7</v>
      </c>
      <c r="F13" s="6" t="n">
        <v>8</v>
      </c>
      <c r="G13" s="6" t="n">
        <v>5</v>
      </c>
      <c r="H13" s="6" t="n">
        <v>5</v>
      </c>
      <c r="I13" s="6" t="n">
        <v>0</v>
      </c>
      <c r="J13" s="13" t="n">
        <v>0</v>
      </c>
      <c r="K13" s="13" t="n">
        <v>1050</v>
      </c>
      <c r="L13" s="9" t="n">
        <v>2500</v>
      </c>
      <c r="M13" s="13" t="n">
        <v>1450</v>
      </c>
      <c r="N13" s="13" t="n">
        <v>1400</v>
      </c>
      <c r="O13" s="9" t="n">
        <v>1925</v>
      </c>
      <c r="P13" s="13" t="n">
        <v>525</v>
      </c>
      <c r="Q13" s="13" t="n">
        <v>640</v>
      </c>
      <c r="R13" s="9" t="n">
        <v>1000</v>
      </c>
      <c r="S13" s="13" t="n">
        <v>360</v>
      </c>
      <c r="T13" s="13" t="n">
        <v>267</v>
      </c>
      <c r="U13" s="9" t="n">
        <v>427</v>
      </c>
      <c r="V13" s="13" t="n">
        <v>160</v>
      </c>
      <c r="W13" s="13" t="n">
        <v>55</v>
      </c>
      <c r="X13" s="9" t="n">
        <v>95</v>
      </c>
      <c r="Y13" s="13" t="n">
        <v>40</v>
      </c>
      <c r="Z13" s="13" t="n">
        <v>3412</v>
      </c>
      <c r="AA13" s="13" t="n">
        <v>5947</v>
      </c>
      <c r="AB13" s="14" t="n">
        <v>2535</v>
      </c>
      <c r="AC13" s="15" t="n">
        <v>74.3</v>
      </c>
      <c r="AD13" s="6" t="inlineStr"/>
    </row>
    <row r="14">
      <c r="A14" s="10" t="n">
        <v>10</v>
      </c>
      <c r="B14" s="10" t="inlineStr">
        <is>
          <t>C2</t>
        </is>
      </c>
      <c r="C14" s="10" t="inlineStr">
        <is>
          <t>7박 8일</t>
        </is>
      </c>
      <c r="D14" s="10" t="inlineStr">
        <is>
          <t>트럼프 + 샌드파이퍼 프리미엄</t>
        </is>
      </c>
      <c r="E14" s="10" t="n">
        <v>7</v>
      </c>
      <c r="F14" s="10" t="n">
        <v>8</v>
      </c>
      <c r="G14" s="10" t="n">
        <v>5</v>
      </c>
      <c r="H14" s="10" t="n">
        <v>3</v>
      </c>
      <c r="I14" s="10" t="n">
        <v>2</v>
      </c>
      <c r="J14" s="13" t="n">
        <v>0</v>
      </c>
      <c r="K14" s="13" t="n">
        <v>890</v>
      </c>
      <c r="L14" s="9" t="n">
        <v>1990</v>
      </c>
      <c r="M14" s="13" t="n">
        <v>1100</v>
      </c>
      <c r="N14" s="13" t="n">
        <v>1400</v>
      </c>
      <c r="O14" s="9" t="n">
        <v>1925</v>
      </c>
      <c r="P14" s="13" t="n">
        <v>525</v>
      </c>
      <c r="Q14" s="13" t="n">
        <v>640</v>
      </c>
      <c r="R14" s="9" t="n">
        <v>1000</v>
      </c>
      <c r="S14" s="13" t="n">
        <v>360</v>
      </c>
      <c r="T14" s="13" t="n">
        <v>267</v>
      </c>
      <c r="U14" s="9" t="n">
        <v>427</v>
      </c>
      <c r="V14" s="13" t="n">
        <v>160</v>
      </c>
      <c r="W14" s="13" t="n">
        <v>55</v>
      </c>
      <c r="X14" s="9" t="n">
        <v>95</v>
      </c>
      <c r="Y14" s="13" t="n">
        <v>40</v>
      </c>
      <c r="Z14" s="13" t="n">
        <v>3252</v>
      </c>
      <c r="AA14" s="13" t="n">
        <v>5437</v>
      </c>
      <c r="AB14" s="14" t="n">
        <v>2185</v>
      </c>
      <c r="AC14" s="16" t="n">
        <v>67.2</v>
      </c>
      <c r="AD14" s="10" t="inlineStr">
        <is>
          <t xml:space="preserve">Sandpiper 리플레이 시 +$245 </t>
        </is>
      </c>
    </row>
    <row r="15">
      <c r="A15" s="6" t="n">
        <v>11</v>
      </c>
      <c r="B15" s="6" t="inlineStr">
        <is>
          <t>C3</t>
        </is>
      </c>
      <c r="C15" s="6" t="inlineStr">
        <is>
          <t>7박 8일</t>
        </is>
      </c>
      <c r="D15" s="6" t="inlineStr">
        <is>
          <t>트럼프 + 샌드파이퍼 + 히든밸리 풀</t>
        </is>
      </c>
      <c r="E15" s="6" t="n">
        <v>7</v>
      </c>
      <c r="F15" s="6" t="n">
        <v>8</v>
      </c>
      <c r="G15" s="6" t="n">
        <v>5</v>
      </c>
      <c r="H15" s="6" t="n">
        <v>2</v>
      </c>
      <c r="I15" s="6" t="n">
        <v>2</v>
      </c>
      <c r="J15" s="13" t="n">
        <v>1</v>
      </c>
      <c r="K15" s="13" t="n">
        <v>789</v>
      </c>
      <c r="L15" s="9" t="n">
        <v>1599</v>
      </c>
      <c r="M15" s="13" t="n">
        <v>810</v>
      </c>
      <c r="N15" s="13" t="n">
        <v>1400</v>
      </c>
      <c r="O15" s="9" t="n">
        <v>1925</v>
      </c>
      <c r="P15" s="13" t="n">
        <v>525</v>
      </c>
      <c r="Q15" s="13" t="n">
        <v>640</v>
      </c>
      <c r="R15" s="9" t="n">
        <v>1000</v>
      </c>
      <c r="S15" s="13" t="n">
        <v>360</v>
      </c>
      <c r="T15" s="13" t="n">
        <v>267</v>
      </c>
      <c r="U15" s="9" t="n">
        <v>427</v>
      </c>
      <c r="V15" s="13" t="n">
        <v>160</v>
      </c>
      <c r="W15" s="13" t="n">
        <v>55</v>
      </c>
      <c r="X15" s="9" t="n">
        <v>95</v>
      </c>
      <c r="Y15" s="13" t="n">
        <v>40</v>
      </c>
      <c r="Z15" s="13" t="n">
        <v>3151</v>
      </c>
      <c r="AA15" s="13" t="n">
        <v>5046</v>
      </c>
      <c r="AB15" s="14" t="n">
        <v>1895</v>
      </c>
      <c r="AC15" s="15" t="n">
        <v>60.1</v>
      </c>
      <c r="AD15" s="6" t="inlineStr">
        <is>
          <t>Sandpiper 리플레이 시 +$245 HV 스탬프 1개 ($12 적립)</t>
        </is>
      </c>
    </row>
    <row r="16">
      <c r="A16" s="10" t="n">
        <v>12</v>
      </c>
      <c r="B16" s="10" t="inlineStr">
        <is>
          <t>C4</t>
        </is>
      </c>
      <c r="C16" s="10" t="inlineStr">
        <is>
          <t>7박 8일</t>
        </is>
      </c>
      <c r="D16" s="10" t="inlineStr">
        <is>
          <t>웨스트코스트 골프 마스터</t>
        </is>
      </c>
      <c r="E16" s="10" t="n">
        <v>7</v>
      </c>
      <c r="F16" s="10" t="n">
        <v>8</v>
      </c>
      <c r="G16" s="10" t="n">
        <v>5</v>
      </c>
      <c r="H16" s="10" t="n">
        <v>2</v>
      </c>
      <c r="I16" s="10" t="n">
        <v>2</v>
      </c>
      <c r="J16" s="13" t="n">
        <v>1</v>
      </c>
      <c r="K16" s="13" t="n">
        <v>789</v>
      </c>
      <c r="L16" s="9" t="n">
        <v>1599</v>
      </c>
      <c r="M16" s="13" t="n">
        <v>810</v>
      </c>
      <c r="N16" s="13" t="n">
        <v>1400</v>
      </c>
      <c r="O16" s="9" t="n">
        <v>1925</v>
      </c>
      <c r="P16" s="13" t="n">
        <v>525</v>
      </c>
      <c r="Q16" s="13" t="n">
        <v>640</v>
      </c>
      <c r="R16" s="9" t="n">
        <v>1000</v>
      </c>
      <c r="S16" s="13" t="n">
        <v>360</v>
      </c>
      <c r="T16" s="13" t="n">
        <v>267</v>
      </c>
      <c r="U16" s="9" t="n">
        <v>427</v>
      </c>
      <c r="V16" s="13" t="n">
        <v>160</v>
      </c>
      <c r="W16" s="13" t="n">
        <v>55</v>
      </c>
      <c r="X16" s="9" t="n">
        <v>95</v>
      </c>
      <c r="Y16" s="13" t="n">
        <v>40</v>
      </c>
      <c r="Z16" s="13" t="n">
        <v>3151</v>
      </c>
      <c r="AA16" s="13" t="n">
        <v>5046</v>
      </c>
      <c r="AB16" s="14" t="n">
        <v>1895</v>
      </c>
      <c r="AC16" s="16" t="n">
        <v>60.1</v>
      </c>
      <c r="AD16" s="10" t="inlineStr">
        <is>
          <t>Sandpiper 리플레이 시 +$245 HV 스탬프 1개 ($12 적립)</t>
        </is>
      </c>
    </row>
    <row r="18">
      <c r="A18" s="3" t="inlineStr">
        <is>
          <t>📐 범례 (Legend)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</row>
    <row r="19">
      <c r="A19" s="2" t="inlineStr">
        <is>
          <t>C = Cost(원가)  |  S = Sell(판매가)  |  M = Margin(마진)  |  🔵 파란색 = 자동계산  |  🟡 노란색 = Master Data 연동</t>
        </is>
      </c>
    </row>
  </sheetData>
  <mergeCells count="4">
    <mergeCell ref="A2:Q2"/>
    <mergeCell ref="A19:AC19"/>
    <mergeCell ref="A1:Q1"/>
    <mergeCell ref="A18:A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100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💰 PROFIT SUMMARY — 수익 분석</t>
        </is>
      </c>
    </row>
    <row r="3">
      <c r="A3" s="3" t="inlineStr">
        <is>
          <t>🏆 추천 TOP 3 (기간별 베스트)</t>
        </is>
      </c>
      <c r="B3" s="4" t="n"/>
      <c r="C3" s="4" t="n"/>
      <c r="D3" s="4" t="n"/>
      <c r="E3" s="4" t="n"/>
      <c r="F3" s="4" t="n"/>
    </row>
    <row r="4">
      <c r="A4" s="5" t="inlineStr">
        <is>
          <t>구분</t>
        </is>
      </c>
      <c r="B4" s="5" t="inlineStr">
        <is>
          <t>숏트립 (3박4일)</t>
        </is>
      </c>
      <c r="C4" s="5" t="inlineStr">
        <is>
          <t>코어 (5박7일)</t>
        </is>
      </c>
      <c r="D4" s="5" t="inlineStr">
        <is>
          <t>프리미엄 (7박8일)</t>
        </is>
      </c>
      <c r="E4" s="5" t="inlineStr"/>
      <c r="F4" s="5" t="inlineStr"/>
    </row>
    <row r="5">
      <c r="A5" s="10" t="inlineStr">
        <is>
          <t>패키지명</t>
        </is>
      </c>
      <c r="B5" s="10" t="inlineStr">
        <is>
          <t>트럼프 인텐시브 + LA관광</t>
        </is>
      </c>
      <c r="C5" s="10" t="inlineStr">
        <is>
          <t>트럼프 그랜드슬램</t>
        </is>
      </c>
      <c r="D5" s="10" t="inlineStr">
        <is>
          <t>트럼프 얼티밋</t>
        </is>
      </c>
    </row>
    <row r="6">
      <c r="A6" s="6" t="inlineStr">
        <is>
          <t>일정</t>
        </is>
      </c>
      <c r="B6" s="6" t="inlineStr">
        <is>
          <t>3박 4일</t>
        </is>
      </c>
      <c r="C6" s="6" t="inlineStr">
        <is>
          <t>5박 7일</t>
        </is>
      </c>
      <c r="D6" s="6" t="inlineStr">
        <is>
          <t>7박 8일</t>
        </is>
      </c>
    </row>
    <row r="7">
      <c r="A7" s="10" t="inlineStr">
        <is>
          <t>라운드</t>
        </is>
      </c>
      <c r="B7" s="10" t="inlineStr">
        <is>
          <t>2회</t>
        </is>
      </c>
      <c r="C7" s="10" t="inlineStr">
        <is>
          <t>4회</t>
        </is>
      </c>
      <c r="D7" s="10" t="inlineStr">
        <is>
          <t>5회</t>
        </is>
      </c>
    </row>
    <row r="8">
      <c r="A8" s="6" t="inlineStr">
        <is>
          <t>코스 구성</t>
        </is>
      </c>
      <c r="B8" s="6" t="inlineStr">
        <is>
          <t>Trump×2</t>
        </is>
      </c>
      <c r="C8" s="6" t="inlineStr">
        <is>
          <t>Trump×4</t>
        </is>
      </c>
      <c r="D8" s="6" t="inlineStr">
        <is>
          <t>Trump×5</t>
        </is>
      </c>
    </row>
    <row r="9">
      <c r="A9" s="10" t="inlineStr">
        <is>
          <t>총원가</t>
        </is>
      </c>
      <c r="B9" s="10" t="n">
        <v>1495</v>
      </c>
      <c r="C9" s="10" t="n">
        <v>2688</v>
      </c>
      <c r="D9" s="10" t="n">
        <v>3412</v>
      </c>
    </row>
    <row r="10">
      <c r="A10" s="6" t="inlineStr">
        <is>
          <t>총판매가</t>
        </is>
      </c>
      <c r="B10" s="6" t="n">
        <v>2580</v>
      </c>
      <c r="C10" s="6" t="n">
        <v>4718</v>
      </c>
      <c r="D10" s="6" t="n">
        <v>5947</v>
      </c>
    </row>
    <row r="11">
      <c r="A11" s="10" t="inlineStr">
        <is>
          <t>총마진</t>
        </is>
      </c>
      <c r="B11" s="10" t="n">
        <v>1085</v>
      </c>
      <c r="C11" s="10" t="n">
        <v>2030</v>
      </c>
      <c r="D11" s="10" t="n">
        <v>2535</v>
      </c>
    </row>
    <row r="12">
      <c r="A12" s="6" t="inlineStr">
        <is>
          <t>마진율</t>
        </is>
      </c>
      <c r="B12" s="6" t="inlineStr">
        <is>
          <t>72.6%</t>
        </is>
      </c>
      <c r="C12" s="6" t="inlineStr">
        <is>
          <t>75.5%</t>
        </is>
      </c>
      <c r="D12" s="6" t="inlineStr">
        <is>
          <t>74.3%</t>
        </is>
      </c>
    </row>
    <row r="13">
      <c r="A13" s="10" t="inlineStr">
        <is>
          <t>1인당 골프비</t>
        </is>
      </c>
      <c r="B13" s="10" t="inlineStr">
        <is>
          <t>C$420 / S$1000</t>
        </is>
      </c>
      <c r="C13" s="10" t="inlineStr">
        <is>
          <t>C$840 / S$2000</t>
        </is>
      </c>
      <c r="D13" s="10" t="inlineStr">
        <is>
          <t>C$1050 / S$2500</t>
        </is>
      </c>
    </row>
    <row r="14">
      <c r="A14" s="6" t="inlineStr">
        <is>
          <t>1인당 숙박비</t>
        </is>
      </c>
      <c r="B14" s="6" t="inlineStr">
        <is>
          <t>C$600 / S$825</t>
        </is>
      </c>
      <c r="C14" s="6" t="inlineStr">
        <is>
          <t>C$1000 / S$1375</t>
        </is>
      </c>
      <c r="D14" s="6" t="inlineStr">
        <is>
          <t>C$1400 / S$1925</t>
        </is>
      </c>
    </row>
    <row r="16">
      <c r="A16" s="3" t="inlineStr">
        <is>
          <t>📊 전 패키지 수익 비교</t>
        </is>
      </c>
      <c r="B16" s="4" t="n"/>
      <c r="C16" s="4" t="n"/>
      <c r="D16" s="4" t="n"/>
      <c r="E16" s="4" t="n"/>
      <c r="F16" s="4" t="n"/>
    </row>
    <row r="17">
      <c r="A17" s="5" t="inlineStr">
        <is>
          <t>패키지명</t>
        </is>
      </c>
      <c r="B17" s="5" t="inlineStr">
        <is>
          <t>일정</t>
        </is>
      </c>
      <c r="C17" s="5" t="inlineStr">
        <is>
          <t>총원가</t>
        </is>
      </c>
      <c r="D17" s="5" t="inlineStr">
        <is>
          <t>총판매가</t>
        </is>
      </c>
      <c r="E17" s="5" t="inlineStr">
        <is>
          <t>총마진</t>
        </is>
      </c>
      <c r="F17" s="5" t="inlineStr">
        <is>
          <t>마진율</t>
        </is>
      </c>
    </row>
    <row r="18">
      <c r="A18" s="6" t="inlineStr">
        <is>
          <t>트럼프 익스클루시브</t>
        </is>
      </c>
      <c r="B18" s="6" t="inlineStr">
        <is>
          <t>3박 4일</t>
        </is>
      </c>
      <c r="C18" s="17" t="n">
        <v>1528</v>
      </c>
      <c r="D18" s="17" t="n">
        <v>2633</v>
      </c>
      <c r="E18" s="18" t="n">
        <v>1105</v>
      </c>
      <c r="F18" s="15" t="n">
        <v>72.3</v>
      </c>
    </row>
    <row r="19">
      <c r="A19" s="10" t="inlineStr">
        <is>
          <t>트럼프 + 샌드파이퍼 오션뷰</t>
        </is>
      </c>
      <c r="B19" s="10" t="inlineStr">
        <is>
          <t>3박 4일</t>
        </is>
      </c>
      <c r="C19" s="19" t="n">
        <v>1448</v>
      </c>
      <c r="D19" s="19" t="n">
        <v>2378</v>
      </c>
      <c r="E19" s="20" t="n">
        <v>930</v>
      </c>
      <c r="F19" s="16" t="n">
        <v>64.2</v>
      </c>
    </row>
    <row r="20">
      <c r="A20" s="6" t="inlineStr">
        <is>
          <t>트럼프 + 히든밸리 밸리뷰</t>
        </is>
      </c>
      <c r="B20" s="6" t="inlineStr">
        <is>
          <t>3박 4일</t>
        </is>
      </c>
      <c r="C20" s="17" t="n">
        <v>1427</v>
      </c>
      <c r="D20" s="17" t="n">
        <v>2242</v>
      </c>
      <c r="E20" s="18" t="n">
        <v>815</v>
      </c>
      <c r="F20" s="15" t="n">
        <v>57.1</v>
      </c>
    </row>
    <row r="21">
      <c r="A21" s="10" t="inlineStr">
        <is>
          <t>트럼프 인텐시브 + LA관광</t>
        </is>
      </c>
      <c r="B21" s="10" t="inlineStr">
        <is>
          <t>3박 4일</t>
        </is>
      </c>
      <c r="C21" s="19" t="n">
        <v>1495</v>
      </c>
      <c r="D21" s="19" t="n">
        <v>2580</v>
      </c>
      <c r="E21" s="20" t="n">
        <v>1085</v>
      </c>
      <c r="F21" s="16" t="n">
        <v>72.59999999999999</v>
      </c>
    </row>
    <row r="22">
      <c r="A22" s="6" t="inlineStr">
        <is>
          <t>트럼프 그랜드슬램</t>
        </is>
      </c>
      <c r="B22" s="6" t="inlineStr">
        <is>
          <t>5박 7일</t>
        </is>
      </c>
      <c r="C22" s="17" t="n">
        <v>2688</v>
      </c>
      <c r="D22" s="17" t="n">
        <v>4718</v>
      </c>
      <c r="E22" s="18" t="n">
        <v>2030</v>
      </c>
      <c r="F22" s="15" t="n">
        <v>75.5</v>
      </c>
    </row>
    <row r="23">
      <c r="A23" s="10" t="inlineStr">
        <is>
          <t>트럼프 + 샌드파이퍼 컴플리트</t>
        </is>
      </c>
      <c r="B23" s="10" t="inlineStr">
        <is>
          <t>5박 7일</t>
        </is>
      </c>
      <c r="C23" s="19" t="n">
        <v>2528</v>
      </c>
      <c r="D23" s="19" t="n">
        <v>4208</v>
      </c>
      <c r="E23" s="20" t="n">
        <v>1680</v>
      </c>
      <c r="F23" s="16" t="n">
        <v>66.5</v>
      </c>
    </row>
    <row r="24">
      <c r="A24" s="6" t="inlineStr">
        <is>
          <t>트럼프 + 샌드파이퍼 + 히든밸리</t>
        </is>
      </c>
      <c r="B24" s="6" t="inlineStr">
        <is>
          <t>5박 7일</t>
        </is>
      </c>
      <c r="C24" s="17" t="n">
        <v>2507</v>
      </c>
      <c r="D24" s="17" t="n">
        <v>4072</v>
      </c>
      <c r="E24" s="18" t="n">
        <v>1565</v>
      </c>
      <c r="F24" s="15" t="n">
        <v>62.4</v>
      </c>
    </row>
    <row r="25">
      <c r="A25" s="10" t="inlineStr">
        <is>
          <t>캘리포니아 골프 익스플로러</t>
        </is>
      </c>
      <c r="B25" s="10" t="inlineStr">
        <is>
          <t>5박 7일</t>
        </is>
      </c>
      <c r="C25" s="19" t="n">
        <v>2427</v>
      </c>
      <c r="D25" s="19" t="n">
        <v>3817</v>
      </c>
      <c r="E25" s="20" t="n">
        <v>1390</v>
      </c>
      <c r="F25" s="16" t="n">
        <v>57.3</v>
      </c>
    </row>
    <row r="26">
      <c r="A26" s="6" t="inlineStr">
        <is>
          <t>트럼프 얼티밋</t>
        </is>
      </c>
      <c r="B26" s="6" t="inlineStr">
        <is>
          <t>7박 8일</t>
        </is>
      </c>
      <c r="C26" s="17" t="n">
        <v>3412</v>
      </c>
      <c r="D26" s="17" t="n">
        <v>5947</v>
      </c>
      <c r="E26" s="18" t="n">
        <v>2535</v>
      </c>
      <c r="F26" s="15" t="n">
        <v>74.3</v>
      </c>
    </row>
    <row r="27">
      <c r="A27" s="10" t="inlineStr">
        <is>
          <t>트럼프 + 샌드파이퍼 프리미엄</t>
        </is>
      </c>
      <c r="B27" s="10" t="inlineStr">
        <is>
          <t>7박 8일</t>
        </is>
      </c>
      <c r="C27" s="19" t="n">
        <v>3252</v>
      </c>
      <c r="D27" s="19" t="n">
        <v>5437</v>
      </c>
      <c r="E27" s="20" t="n">
        <v>2185</v>
      </c>
      <c r="F27" s="16" t="n">
        <v>67.2</v>
      </c>
    </row>
    <row r="28">
      <c r="A28" s="6" t="inlineStr">
        <is>
          <t>트럼프 + 샌드파이퍼 + 히든밸리 풀</t>
        </is>
      </c>
      <c r="B28" s="6" t="inlineStr">
        <is>
          <t>7박 8일</t>
        </is>
      </c>
      <c r="C28" s="17" t="n">
        <v>3151</v>
      </c>
      <c r="D28" s="17" t="n">
        <v>5046</v>
      </c>
      <c r="E28" s="18" t="n">
        <v>1895</v>
      </c>
      <c r="F28" s="15" t="n">
        <v>60.1</v>
      </c>
    </row>
    <row r="29">
      <c r="A29" s="10" t="inlineStr">
        <is>
          <t>웨스트코스트 골프 마스터</t>
        </is>
      </c>
      <c r="B29" s="10" t="inlineStr">
        <is>
          <t>7박 8일</t>
        </is>
      </c>
      <c r="C29" s="19" t="n">
        <v>3151</v>
      </c>
      <c r="D29" s="19" t="n">
        <v>5046</v>
      </c>
      <c r="E29" s="20" t="n">
        <v>1895</v>
      </c>
      <c r="F29" s="16" t="n">
        <v>60.1</v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2026-05-21T23:54:29Z</dcterms:created>
  <dcterms:modified xmlns:dcterms="http://purl.org/dc/terms/" xmlns:xsi="http://www.w3.org/2001/XMLSchema-instance" xsi:type="dcterms:W3CDTF">2026-05-21T23:54:29Z</dcterms:modified>
</cp:coreProperties>
</file>