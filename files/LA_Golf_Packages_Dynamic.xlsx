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Data" sheetId="1" state="visible" r:id="rId1"/>
    <sheet xmlns:r="http://schemas.openxmlformats.org/officeDocument/2006/relationships" name="Package Builder" sheetId="2" state="visible" r:id="rId2"/>
    <sheet xmlns:r="http://schemas.openxmlformats.org/officeDocument/2006/relationships" name="Profit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Calibri"/>
      <b val="1"/>
      <color rgb="001A3450"/>
      <sz val="14"/>
    </font>
    <font>
      <name val="Calibri"/>
      <i val="1"/>
      <color rgb="00888888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9"/>
    </font>
    <font>
      <name val="Calibri"/>
      <i val="1"/>
      <color rgb="00AAAAAA"/>
      <sz val="9"/>
    </font>
    <font>
      <name val="Calibri"/>
      <sz val="10"/>
    </font>
    <font>
      <name val="Calibri"/>
      <b val="1"/>
      <color rgb="00FFFFFF"/>
      <sz val="11"/>
    </font>
    <font>
      <name val="Calibri"/>
      <b val="1"/>
      <color rgb="001A3450"/>
      <sz val="16"/>
    </font>
    <font>
      <name val="Calibri"/>
      <b val="1"/>
      <color rgb="001A3450"/>
      <sz val="13"/>
    </font>
  </fonts>
  <fills count="7">
    <fill>
      <patternFill/>
    </fill>
    <fill>
      <patternFill patternType="gray125"/>
    </fill>
    <fill>
      <patternFill patternType="solid">
        <fgColor rgb="001A3450"/>
      </patternFill>
    </fill>
    <fill>
      <patternFill patternType="solid">
        <fgColor rgb="00DAEEF3"/>
      </patternFill>
    </fill>
    <fill>
      <patternFill patternType="solid">
        <fgColor rgb="00FFFF00"/>
      </patternFill>
    </fill>
    <fill>
      <patternFill patternType="solid">
        <fgColor rgb="00D4AF37"/>
      </patternFill>
    </fill>
    <fill>
      <patternFill patternType="solid">
        <fgColor rgb="00C6EFCE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medium"/>
      <right style="medium"/>
      <top style="medium"/>
      <bottom style="medium"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pivotButton="0" quotePrefix="0" xfId="0"/>
    <xf numFmtId="0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3" fontId="5" fillId="3" borderId="1" applyAlignment="1" pivotButton="0" quotePrefix="0" xfId="0">
      <alignment horizontal="center" vertical="center"/>
    </xf>
    <xf numFmtId="0" fontId="6" fillId="0" borderId="1" pivotButton="0" quotePrefix="0" xfId="0"/>
    <xf numFmtId="164" fontId="5" fillId="3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0" fontId="7" fillId="4" borderId="1" pivotButton="0" quotePrefix="0" xfId="0"/>
    <xf numFmtId="0" fontId="7" fillId="4" borderId="1" applyAlignment="1" pivotButton="0" quotePrefix="0" xfId="0">
      <alignment horizontal="center" vertical="center"/>
    </xf>
    <xf numFmtId="164" fontId="7" fillId="3" borderId="1" applyAlignment="1" pivotButton="0" quotePrefix="0" xfId="0">
      <alignment horizontal="center" vertical="center"/>
    </xf>
    <xf numFmtId="3" fontId="7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1" fontId="5" fillId="3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1" fontId="5" fillId="4" borderId="1" applyAlignment="1" pivotButton="0" quotePrefix="0" xfId="0">
      <alignment horizontal="center" vertical="center"/>
    </xf>
    <xf numFmtId="0" fontId="9" fillId="5" borderId="6" pivotButton="0" quotePrefix="0" xfId="0"/>
    <xf numFmtId="0" fontId="0" fillId="0" borderId="9" pivotButton="0" quotePrefix="0" xfId="0"/>
    <xf numFmtId="0" fontId="0" fillId="0" borderId="10" pivotButton="0" quotePrefix="0" xfId="0"/>
    <xf numFmtId="3" fontId="9" fillId="5" borderId="6" applyAlignment="1" pivotButton="0" quotePrefix="0" xfId="0">
      <alignment horizontal="center" vertical="center"/>
    </xf>
    <xf numFmtId="0" fontId="9" fillId="5" borderId="6" applyAlignment="1" pivotButton="0" quotePrefix="0" xfId="0">
      <alignment horizontal="center" vertical="center"/>
    </xf>
    <xf numFmtId="164" fontId="9" fillId="5" borderId="6" applyAlignment="1" pivotButton="0" quotePrefix="0" xfId="0">
      <alignment horizontal="center" vertical="center"/>
    </xf>
    <xf numFmtId="3" fontId="10" fillId="6" borderId="0" applyAlignment="1" pivotButton="0" quotePrefix="0" xfId="0">
      <alignment horizontal="center" vertical="center"/>
    </xf>
    <xf numFmtId="3" fontId="1" fillId="6" borderId="0" applyAlignment="1" pivotButton="0" quotePrefix="0" xfId="0">
      <alignment horizontal="center" vertical="center"/>
    </xf>
    <xf numFmtId="3" fontId="5" fillId="6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center" vertical="center"/>
    </xf>
    <xf numFmtId="0" fontId="5" fillId="0" borderId="0" pivotButton="0" quotePrefix="0" xfId="0"/>
    <xf numFmtId="3" fontId="11" fillId="6" borderId="6" applyAlignment="1" pivotButton="0" quotePrefix="0" xfId="0">
      <alignment horizontal="center" vertical="center"/>
    </xf>
    <xf numFmtId="164" fontId="11" fillId="6" borderId="0" applyAlignment="1" pivotButton="0" quotePrefix="0" xfId="0">
      <alignment horizontal="center" vertical="center"/>
    </xf>
    <xf numFmtId="3" fontId="11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3450"/>
    <outlinePr summaryBelow="1" summaryRight="1"/>
    <pageSetUpPr/>
  </sheetPr>
  <dimension ref="A1:G4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5" customWidth="1" min="2" max="2"/>
    <col width="14" customWidth="1" min="3" max="3"/>
    <col width="14" customWidth="1" min="4" max="4"/>
    <col width="14" customWidth="1" min="5" max="5"/>
    <col width="15" customWidth="1" min="6" max="6"/>
    <col width="40" customWidth="1" min="7" max="7"/>
  </cols>
  <sheetData>
    <row r="1">
      <c r="A1" s="1" t="inlineStr">
        <is>
          <t>MASTER DATA - Yellow=input Blue=auto | Mode: Margin%-&gt;Sell or Sell-&gt;Margin%</t>
        </is>
      </c>
    </row>
    <row r="2">
      <c r="A2" s="2" t="inlineStr">
        <is>
          <t>Margin%-&gt;Sell: input margin -&gt; auto sell | Sell-&gt;Margin%: input sell -&gt; auto margin% | 2026-05-20</t>
        </is>
      </c>
    </row>
    <row r="4">
      <c r="A4" s="3" t="inlineStr">
        <is>
          <t>GOLF COURSES (per person per round, USD)</t>
        </is>
      </c>
    </row>
    <row r="5">
      <c r="A5" s="4" t="inlineStr">
        <is>
          <t>Name</t>
        </is>
      </c>
      <c r="B5" s="4" t="inlineStr">
        <is>
          <t>Mode</t>
        </is>
      </c>
      <c r="C5" s="4" t="inlineStr">
        <is>
          <t>Cost</t>
        </is>
      </c>
      <c r="D5" s="4" t="inlineStr">
        <is>
          <t>Margin%</t>
        </is>
      </c>
      <c r="E5" s="4" t="inlineStr">
        <is>
          <t>Sell</t>
        </is>
      </c>
      <c r="F5" s="4" t="inlineStr">
        <is>
          <t>Margin</t>
        </is>
      </c>
      <c r="G5" s="4" t="inlineStr">
        <is>
          <t>Notes</t>
        </is>
      </c>
    </row>
    <row r="6">
      <c r="A6" s="5" t="inlineStr">
        <is>
          <t>Trump National LA</t>
        </is>
      </c>
      <c r="B6" s="6" t="inlineStr">
        <is>
          <t>Margin%-&gt;Sell</t>
        </is>
      </c>
      <c r="C6" s="7" t="n">
        <v>210</v>
      </c>
      <c r="D6" s="8" t="n">
        <v>1.381</v>
      </c>
      <c r="E6" s="9">
        <f>IF(B6="Margin%-&gt;Sell",C6*(1+D6),C6)</f>
        <v/>
      </c>
      <c r="F6" s="9">
        <f>E6-C6</f>
        <v/>
      </c>
      <c r="G6" s="10" t="inlineStr">
        <is>
          <t>Member guest | Cart incl</t>
        </is>
      </c>
    </row>
    <row r="7">
      <c r="A7" s="5" t="inlineStr">
        <is>
          <t>Sandpiper GC</t>
        </is>
      </c>
      <c r="B7" s="6" t="inlineStr">
        <is>
          <t>Margin%-&gt;Sell</t>
        </is>
      </c>
      <c r="C7" s="7" t="n">
        <v>130</v>
      </c>
      <c r="D7" s="8" t="n">
        <v>0.885</v>
      </c>
      <c r="E7" s="9">
        <f>IF(B7="Margin%-&gt;Sell",C7*(1+D7),C7)</f>
        <v/>
      </c>
      <c r="F7" s="9">
        <f>E7-C7</f>
        <v/>
      </c>
      <c r="G7" s="10" t="inlineStr">
        <is>
          <t>UnderPar.com | Replay free</t>
        </is>
      </c>
    </row>
    <row r="8">
      <c r="A8" s="5" t="inlineStr">
        <is>
          <t>Hidden Valley GC</t>
        </is>
      </c>
      <c r="B8" s="6" t="inlineStr">
        <is>
          <t>Sell-&gt;Margin%</t>
        </is>
      </c>
      <c r="C8" s="7" t="n">
        <v>109</v>
      </c>
      <c r="D8" s="11">
        <f>IF(AND(B8="Sell-&gt;Margin%",C8&gt;0),(E8-C8)/C8,0)</f>
        <v/>
      </c>
      <c r="E8" s="12" t="n">
        <v>109</v>
      </c>
      <c r="F8" s="9">
        <f>E8-C8</f>
        <v/>
      </c>
      <c r="G8" s="10" t="inlineStr">
        <is>
          <t>Weekend Prime | 9Stamp=1free</t>
        </is>
      </c>
    </row>
    <row r="10">
      <c r="A10" s="3" t="inlineStr">
        <is>
          <t>+ Add (input in yellow cells)</t>
        </is>
      </c>
    </row>
    <row r="11">
      <c r="A11" s="13" t="inlineStr">
        <is>
          <t>New 1</t>
        </is>
      </c>
      <c r="B11" s="14" t="inlineStr">
        <is>
          <t>Margin%-&gt;Sell</t>
        </is>
      </c>
      <c r="C11" s="13" t="n"/>
      <c r="D11" s="15">
        <f>IF(AND(B11="Sell-&gt;Margin%",C11&gt;0),(E11-C11)/C11,"")</f>
        <v/>
      </c>
      <c r="E11" s="16">
        <f>IF(B11="Margin%-&gt;Sell",IF(C11&gt;0,C11*(1+D11),""),E11)</f>
        <v/>
      </c>
      <c r="F11" s="16">
        <f>IF(AND(C11&gt;0,E11&gt;0),E11-C11,"")</f>
        <v/>
      </c>
      <c r="G11" s="13" t="n"/>
    </row>
    <row r="12">
      <c r="A12" s="13" t="inlineStr">
        <is>
          <t>New 2</t>
        </is>
      </c>
      <c r="B12" s="14" t="inlineStr">
        <is>
          <t>Margin%-&gt;Sell</t>
        </is>
      </c>
      <c r="C12" s="13" t="n"/>
      <c r="D12" s="15">
        <f>IF(AND(B12="Sell-&gt;Margin%",C12&gt;0),(E12-C12)/C12,"")</f>
        <v/>
      </c>
      <c r="E12" s="16">
        <f>IF(B12="Margin%-&gt;Sell",IF(C12&gt;0,C12*(1+D12),""),E12)</f>
        <v/>
      </c>
      <c r="F12" s="16">
        <f>IF(AND(C12&gt;0,E12&gt;0),E12-C12,"")</f>
        <v/>
      </c>
      <c r="G12" s="13" t="n"/>
    </row>
    <row r="13">
      <c r="A13" s="13" t="inlineStr">
        <is>
          <t>New 3</t>
        </is>
      </c>
      <c r="B13" s="14" t="inlineStr">
        <is>
          <t>Margin%-&gt;Sell</t>
        </is>
      </c>
      <c r="C13" s="13" t="n"/>
      <c r="D13" s="15">
        <f>IF(AND(B13="Sell-&gt;Margin%",C13&gt;0),(E13-C13)/C13,"")</f>
        <v/>
      </c>
      <c r="E13" s="16">
        <f>IF(B13="Margin%-&gt;Sell",IF(C13&gt;0,C13*(1+D13),""),E13)</f>
        <v/>
      </c>
      <c r="F13" s="16">
        <f>IF(AND(C13&gt;0,E13&gt;0),E13-C13,"")</f>
        <v/>
      </c>
      <c r="G13" s="13" t="n"/>
    </row>
    <row r="15">
      <c r="A15" s="3" t="inlineStr">
        <is>
          <t>HOTELS (per person per night, Double Occ.)</t>
        </is>
      </c>
    </row>
    <row r="16">
      <c r="A16" s="4" t="inlineStr">
        <is>
          <t>Name</t>
        </is>
      </c>
      <c r="B16" s="4" t="inlineStr">
        <is>
          <t>Mode</t>
        </is>
      </c>
      <c r="C16" s="4" t="inlineStr">
        <is>
          <t>Cost</t>
        </is>
      </c>
      <c r="D16" s="4" t="inlineStr">
        <is>
          <t>Margin%</t>
        </is>
      </c>
      <c r="E16" s="4" t="inlineStr">
        <is>
          <t>Sell</t>
        </is>
      </c>
      <c r="F16" s="4" t="inlineStr">
        <is>
          <t>Margin</t>
        </is>
      </c>
      <c r="G16" s="4" t="inlineStr">
        <is>
          <t>Notes</t>
        </is>
      </c>
    </row>
    <row r="17">
      <c r="A17" s="5" t="inlineStr">
        <is>
          <t>Beverly Wilshire (5*)</t>
        </is>
      </c>
      <c r="B17" s="6" t="inlineStr">
        <is>
          <t>Margin%-&gt;Sell</t>
        </is>
      </c>
      <c r="C17" s="7" t="n">
        <v>275</v>
      </c>
      <c r="D17" s="8" t="n">
        <v>0.364</v>
      </c>
      <c r="E17" s="9">
        <f>IF(B17="Margin%-&gt;Sell",C17*(1+D17),C17)</f>
        <v/>
      </c>
      <c r="F17" s="9">
        <f>E17-C17</f>
        <v/>
      </c>
      <c r="G17" s="10" t="inlineStr">
        <is>
          <t>$550/room / 2</t>
        </is>
      </c>
    </row>
    <row r="19">
      <c r="A19" s="3" t="inlineStr">
        <is>
          <t>+ Add (input in yellow cells)</t>
        </is>
      </c>
    </row>
    <row r="20">
      <c r="A20" s="13" t="inlineStr">
        <is>
          <t>New 1</t>
        </is>
      </c>
      <c r="B20" s="14" t="inlineStr">
        <is>
          <t>Margin%-&gt;Sell</t>
        </is>
      </c>
      <c r="C20" s="13" t="n"/>
      <c r="D20" s="15">
        <f>IF(AND(B20="Sell-&gt;Margin%",C20&gt;0),(E20-C20)/C20,"")</f>
        <v/>
      </c>
      <c r="E20" s="16">
        <f>IF(B20="Margin%-&gt;Sell",IF(C20&gt;0,C20*(1+D20),""),E20)</f>
        <v/>
      </c>
      <c r="F20" s="16">
        <f>IF(AND(C20&gt;0,E20&gt;0),E20-C20,"")</f>
        <v/>
      </c>
      <c r="G20" s="13" t="n"/>
    </row>
    <row r="21">
      <c r="A21" s="13" t="inlineStr">
        <is>
          <t>New 2</t>
        </is>
      </c>
      <c r="B21" s="14" t="inlineStr">
        <is>
          <t>Margin%-&gt;Sell</t>
        </is>
      </c>
      <c r="C21" s="13" t="n"/>
      <c r="D21" s="15">
        <f>IF(AND(B21="Sell-&gt;Margin%",C21&gt;0),(E21-C21)/C21,"")</f>
        <v/>
      </c>
      <c r="E21" s="16">
        <f>IF(B21="Margin%-&gt;Sell",IF(C21&gt;0,C21*(1+D21),""),E21)</f>
        <v/>
      </c>
      <c r="F21" s="16">
        <f>IF(AND(C21&gt;0,E21&gt;0),E21-C21,"")</f>
        <v/>
      </c>
      <c r="G21" s="13" t="n"/>
    </row>
    <row r="23">
      <c r="A23" s="3" t="inlineStr">
        <is>
          <t>TRANSPORT (per person, 4pax/group)</t>
        </is>
      </c>
    </row>
    <row r="24">
      <c r="A24" s="4" t="inlineStr">
        <is>
          <t>Name</t>
        </is>
      </c>
      <c r="B24" s="4" t="inlineStr">
        <is>
          <t>Mode</t>
        </is>
      </c>
      <c r="C24" s="4" t="inlineStr">
        <is>
          <t>Cost</t>
        </is>
      </c>
      <c r="D24" s="4" t="inlineStr">
        <is>
          <t>Margin%</t>
        </is>
      </c>
      <c r="E24" s="4" t="inlineStr">
        <is>
          <t>Sell</t>
        </is>
      </c>
      <c r="F24" s="4" t="inlineStr">
        <is>
          <t>Margin</t>
        </is>
      </c>
      <c r="G24" s="4" t="inlineStr">
        <is>
          <t>Notes</t>
        </is>
      </c>
    </row>
    <row r="25">
      <c r="A25" s="5" t="inlineStr">
        <is>
          <t>Driver+Guide+Van (daily)</t>
        </is>
      </c>
      <c r="B25" s="6" t="inlineStr">
        <is>
          <t>Margin%-&gt;Sell</t>
        </is>
      </c>
      <c r="C25" s="7" t="n">
        <v>125</v>
      </c>
      <c r="D25" s="8" t="n">
        <v>0.4</v>
      </c>
      <c r="E25" s="9">
        <f>IF(B25="Margin%-&gt;Sell",C25*(1+D25),C25)</f>
        <v/>
      </c>
      <c r="F25" s="9">
        <f>E25-C25</f>
        <v/>
      </c>
      <c r="G25" s="10" t="inlineStr">
        <is>
          <t>$500/day / 4</t>
        </is>
      </c>
    </row>
    <row r="26">
      <c r="A26" s="5" t="inlineStr">
        <is>
          <t>Airport RT pickup</t>
        </is>
      </c>
      <c r="B26" s="6" t="inlineStr">
        <is>
          <t>Margin%-&gt;Sell</t>
        </is>
      </c>
      <c r="C26" s="7" t="n">
        <v>75</v>
      </c>
      <c r="D26" s="8" t="n">
        <v>0.6</v>
      </c>
      <c r="E26" s="9">
        <f>IF(B26="Margin%-&gt;Sell",C26*(1+D26),C26)</f>
        <v/>
      </c>
      <c r="F26" s="9">
        <f>E26-C26</f>
        <v/>
      </c>
      <c r="G26" s="10" t="inlineStr">
        <is>
          <t>LAX&lt;-&gt;Hotel</t>
        </is>
      </c>
    </row>
    <row r="28">
      <c r="A28" s="3" t="inlineStr">
        <is>
          <t>+ Add (input in yellow cells)</t>
        </is>
      </c>
    </row>
    <row r="29">
      <c r="A29" s="13" t="inlineStr">
        <is>
          <t>New 1</t>
        </is>
      </c>
      <c r="B29" s="14" t="inlineStr">
        <is>
          <t>Margin%-&gt;Sell</t>
        </is>
      </c>
      <c r="C29" s="13" t="n"/>
      <c r="D29" s="15">
        <f>IF(AND(B29="Sell-&gt;Margin%",C29&gt;0),(E29-C29)/C29,"")</f>
        <v/>
      </c>
      <c r="E29" s="16">
        <f>IF(B29="Margin%-&gt;Sell",IF(C29&gt;0,C29*(1+D29),""),E29)</f>
        <v/>
      </c>
      <c r="F29" s="16">
        <f>IF(AND(C29&gt;0,E29&gt;0),E29-C29,"")</f>
        <v/>
      </c>
      <c r="G29" s="13" t="n"/>
    </row>
    <row r="30">
      <c r="A30" s="13" t="inlineStr">
        <is>
          <t>New 2</t>
        </is>
      </c>
      <c r="B30" s="14" t="inlineStr">
        <is>
          <t>Margin%-&gt;Sell</t>
        </is>
      </c>
      <c r="C30" s="13" t="n"/>
      <c r="D30" s="15">
        <f>IF(AND(B30="Sell-&gt;Margin%",C30&gt;0),(E30-C30)/C30,"")</f>
        <v/>
      </c>
      <c r="E30" s="16">
        <f>IF(B30="Margin%-&gt;Sell",IF(C30&gt;0,C30*(1+D30),""),E30)</f>
        <v/>
      </c>
      <c r="F30" s="16">
        <f>IF(AND(C30&gt;0,E30&gt;0),E30-C30,"")</f>
        <v/>
      </c>
      <c r="G30" s="13" t="n"/>
    </row>
    <row r="32">
      <c r="A32" s="3" t="inlineStr">
        <is>
          <t>MEALS (per person per meal)</t>
        </is>
      </c>
    </row>
    <row r="33">
      <c r="A33" s="4" t="inlineStr">
        <is>
          <t>Name</t>
        </is>
      </c>
      <c r="B33" s="4" t="inlineStr">
        <is>
          <t>Mode</t>
        </is>
      </c>
      <c r="C33" s="4" t="inlineStr">
        <is>
          <t>Cost</t>
        </is>
      </c>
      <c r="D33" s="4" t="inlineStr">
        <is>
          <t>Margin%</t>
        </is>
      </c>
      <c r="E33" s="4" t="inlineStr">
        <is>
          <t>Sell</t>
        </is>
      </c>
      <c r="F33" s="4" t="inlineStr">
        <is>
          <t>Margin</t>
        </is>
      </c>
      <c r="G33" s="4" t="inlineStr">
        <is>
          <t>Notes</t>
        </is>
      </c>
    </row>
    <row r="34">
      <c r="A34" s="5" t="inlineStr">
        <is>
          <t>Breakfast (hotel)</t>
        </is>
      </c>
      <c r="B34" s="6" t="inlineStr">
        <is>
          <t>Margin%-&gt;Sell</t>
        </is>
      </c>
      <c r="C34" s="7" t="n">
        <v>30</v>
      </c>
      <c r="D34" s="8" t="n">
        <v>0.5</v>
      </c>
      <c r="E34" s="9">
        <f>IF(B34="Margin%-&gt;Sell",C34*(1+D34),C34)</f>
        <v/>
      </c>
      <c r="F34" s="9">
        <f>E34-C34</f>
        <v/>
      </c>
      <c r="G34" s="10" t="inlineStr">
        <is>
          <t>Daily</t>
        </is>
      </c>
    </row>
    <row r="35">
      <c r="A35" s="5" t="inlineStr">
        <is>
          <t>Lunch</t>
        </is>
      </c>
      <c r="B35" s="6" t="inlineStr">
        <is>
          <t>Margin%-&gt;Sell</t>
        </is>
      </c>
      <c r="C35" s="7" t="n">
        <v>40</v>
      </c>
      <c r="D35" s="8" t="n">
        <v>0.5</v>
      </c>
      <c r="E35" s="9">
        <f>IF(B35="Margin%-&gt;Sell",C35*(1+D35),C35)</f>
        <v/>
      </c>
      <c r="F35" s="9">
        <f>E35-C35</f>
        <v/>
      </c>
      <c r="G35" s="10" t="inlineStr">
        <is>
          <t>Daily</t>
        </is>
      </c>
    </row>
    <row r="36">
      <c r="A36" s="5" t="inlineStr">
        <is>
          <t>Dinner (standard)</t>
        </is>
      </c>
      <c r="B36" s="6" t="inlineStr">
        <is>
          <t>Margin%-&gt;Sell</t>
        </is>
      </c>
      <c r="C36" s="7" t="n">
        <v>80</v>
      </c>
      <c r="D36" s="8" t="n">
        <v>0.5</v>
      </c>
      <c r="E36" s="9">
        <f>IF(B36="Margin%-&gt;Sell",C36*(1+D36),C36)</f>
        <v/>
      </c>
      <c r="F36" s="9">
        <f>E36-C36</f>
        <v/>
      </c>
      <c r="G36" s="10" t="inlineStr">
        <is>
          <t>Standard</t>
        </is>
      </c>
    </row>
    <row r="37">
      <c r="A37" s="5" t="inlineStr">
        <is>
          <t>Exclusive Dinner</t>
        </is>
      </c>
      <c r="B37" s="6" t="inlineStr">
        <is>
          <t>Margin%-&gt;Sell</t>
        </is>
      </c>
      <c r="C37" s="7" t="n">
        <v>120</v>
      </c>
      <c r="D37" s="8" t="n">
        <v>0.5</v>
      </c>
      <c r="E37" s="9">
        <f>IF(B37="Margin%-&gt;Sell",C37*(1+D37),C37)</f>
        <v/>
      </c>
      <c r="F37" s="9">
        <f>E37-C37</f>
        <v/>
      </c>
      <c r="G37" s="10" t="inlineStr">
        <is>
          <t>2x per trip</t>
        </is>
      </c>
    </row>
    <row r="39">
      <c r="A39" s="3" t="inlineStr">
        <is>
          <t>+ Add (input in yellow cells)</t>
        </is>
      </c>
    </row>
    <row r="40">
      <c r="A40" s="13" t="inlineStr">
        <is>
          <t>New 1</t>
        </is>
      </c>
      <c r="B40" s="14" t="inlineStr">
        <is>
          <t>Margin%-&gt;Sell</t>
        </is>
      </c>
      <c r="C40" s="13" t="n"/>
      <c r="D40" s="15">
        <f>IF(AND(B40="Sell-&gt;Margin%",C40&gt;0),(E40-C40)/C40,"")</f>
        <v/>
      </c>
      <c r="E40" s="16">
        <f>IF(B40="Margin%-&gt;Sell",IF(C40&gt;0,C40*(1+D40),""),E40)</f>
        <v/>
      </c>
      <c r="F40" s="16">
        <f>IF(AND(C40&gt;0,E40&gt;0),E40-C40,"")</f>
        <v/>
      </c>
      <c r="G40" s="13" t="n"/>
    </row>
    <row r="41">
      <c r="A41" s="13" t="inlineStr">
        <is>
          <t>New 2</t>
        </is>
      </c>
      <c r="B41" s="14" t="inlineStr">
        <is>
          <t>Margin%-&gt;Sell</t>
        </is>
      </c>
      <c r="C41" s="13" t="n"/>
      <c r="D41" s="15">
        <f>IF(AND(B41="Sell-&gt;Margin%",C41&gt;0),(E41-C41)/C41,"")</f>
        <v/>
      </c>
      <c r="E41" s="16">
        <f>IF(B41="Margin%-&gt;Sell",IF(C41&gt;0,C41*(1+D41),""),E41)</f>
        <v/>
      </c>
      <c r="F41" s="16">
        <f>IF(AND(C41&gt;0,E41&gt;0),E41-C41,"")</f>
        <v/>
      </c>
      <c r="G41" s="13" t="n"/>
    </row>
    <row r="43">
      <c r="A43" s="3" t="inlineStr">
        <is>
          <t>OTHER (per person per day)</t>
        </is>
      </c>
    </row>
    <row r="44">
      <c r="A44" s="4" t="inlineStr">
        <is>
          <t>Name</t>
        </is>
      </c>
      <c r="B44" s="4" t="inlineStr">
        <is>
          <t>Mode</t>
        </is>
      </c>
      <c r="C44" s="4" t="inlineStr">
        <is>
          <t>Cost</t>
        </is>
      </c>
      <c r="D44" s="4" t="inlineStr">
        <is>
          <t>Margin%</t>
        </is>
      </c>
      <c r="E44" s="4" t="inlineStr">
        <is>
          <t>Sell</t>
        </is>
      </c>
      <c r="F44" s="4" t="inlineStr">
        <is>
          <t>Margin</t>
        </is>
      </c>
      <c r="G44" s="4" t="inlineStr">
        <is>
          <t>Notes</t>
        </is>
      </c>
    </row>
    <row r="45">
      <c r="A45" s="5" t="inlineStr">
        <is>
          <t>Misc (insurance,tips)</t>
        </is>
      </c>
      <c r="B45" s="6" t="inlineStr">
        <is>
          <t>Margin%-&gt;Sell</t>
        </is>
      </c>
      <c r="C45" s="7" t="n">
        <v>50</v>
      </c>
      <c r="D45" s="8" t="n">
        <v>0.5</v>
      </c>
      <c r="E45" s="9">
        <f>IF(B45="Margin%-&gt;Sell",C45*(1+D45),C45)</f>
        <v/>
      </c>
      <c r="F45" s="9">
        <f>E45-C45</f>
        <v/>
      </c>
      <c r="G45" s="10" t="inlineStr">
        <is>
          <t>Daily</t>
        </is>
      </c>
    </row>
    <row r="47">
      <c r="A47" s="3" t="inlineStr">
        <is>
          <t>+ Add (input in yellow cells)</t>
        </is>
      </c>
    </row>
    <row r="48">
      <c r="A48" s="13" t="inlineStr">
        <is>
          <t>New 1</t>
        </is>
      </c>
      <c r="B48" s="14" t="inlineStr">
        <is>
          <t>Margin%-&gt;Sell</t>
        </is>
      </c>
      <c r="C48" s="13" t="n"/>
      <c r="D48" s="15">
        <f>IF(AND(B48="Sell-&gt;Margin%",C48&gt;0),(E48-C48)/C48,"")</f>
        <v/>
      </c>
      <c r="E48" s="16">
        <f>IF(B48="Margin%-&gt;Sell",IF(C48&gt;0,C48*(1+D48),""),E48)</f>
        <v/>
      </c>
      <c r="F48" s="16">
        <f>IF(AND(C48&gt;0,E48&gt;0),E48-C48,"")</f>
        <v/>
      </c>
      <c r="G48" s="13" t="n"/>
    </row>
    <row r="49">
      <c r="A49" s="13" t="inlineStr">
        <is>
          <t>New 2</t>
        </is>
      </c>
      <c r="B49" s="14" t="inlineStr">
        <is>
          <t>Margin%-&gt;Sell</t>
        </is>
      </c>
      <c r="C49" s="13" t="n"/>
      <c r="D49" s="15">
        <f>IF(AND(B49="Sell-&gt;Margin%",C49&gt;0),(E49-C49)/C49,"")</f>
        <v/>
      </c>
      <c r="E49" s="16">
        <f>IF(B49="Margin%-&gt;Sell",IF(C49&gt;0,C49*(1+D49),""),E49)</f>
        <v/>
      </c>
      <c r="F49" s="16">
        <f>IF(AND(C49&gt;0,E49&gt;0),E49-C49,"")</f>
        <v/>
      </c>
      <c r="G49" s="13" t="n"/>
    </row>
  </sheetData>
  <mergeCells count="12">
    <mergeCell ref="A32:G32"/>
    <mergeCell ref="A1:G1"/>
    <mergeCell ref="A39:G39"/>
    <mergeCell ref="A47:G47"/>
    <mergeCell ref="A4:G4"/>
    <mergeCell ref="A2:G2"/>
    <mergeCell ref="A15:G15"/>
    <mergeCell ref="A43:G43"/>
    <mergeCell ref="A19:G19"/>
    <mergeCell ref="A10:G10"/>
    <mergeCell ref="A28:G28"/>
    <mergeCell ref="A23:G23"/>
  </mergeCells>
  <dataValidations count="5">
    <dataValidation sqref="B6 B7 B8 B11 B12 B13" showDropDown="0" showInputMessage="0" showErrorMessage="0" allowBlank="0" type="list">
      <formula1>"Margin%-&gt;Sell,Sell-&gt;Margin%"</formula1>
    </dataValidation>
    <dataValidation sqref="B17 B20 B21" showDropDown="0" showInputMessage="0" showErrorMessage="0" allowBlank="0" type="list">
      <formula1>"Margin%-&gt;Sell,Sell-&gt;Margin%"</formula1>
    </dataValidation>
    <dataValidation sqref="B25 B26 B29 B30" showDropDown="0" showInputMessage="0" showErrorMessage="0" allowBlank="0" type="list">
      <formula1>"Margin%-&gt;Sell,Sell-&gt;Margin%"</formula1>
    </dataValidation>
    <dataValidation sqref="B34 B35 B36 B37 B40 B41" showDropDown="0" showInputMessage="0" showErrorMessage="0" allowBlank="0" type="list">
      <formula1>"Margin%-&gt;Sell,Sell-&gt;Margin%"</formula1>
    </dataValidation>
    <dataValidation sqref="B45 B48 B49" showDropDown="0" showInputMessage="0" showErrorMessage="0" allowBlank="0" type="list">
      <formula1>"Margin%-&gt;Sell,Sell-&gt;Margin%"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4AF37"/>
    <outlinePr summaryBelow="1" summaryRight="1"/>
    <pageSetUpPr/>
  </sheetPr>
  <dimension ref="A1:J53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5" customWidth="1" min="2" max="2"/>
    <col width="24" customWidth="1" min="3" max="3"/>
    <col width="14" customWidth="1" min="4" max="4"/>
    <col width="15" customWidth="1" min="5" max="5"/>
    <col width="15" customWidth="1" min="6" max="6"/>
    <col width="16" customWidth="1" min="7" max="7"/>
    <col width="16" customWidth="1" min="8" max="8"/>
    <col width="16" customWidth="1" min="9" max="9"/>
    <col width="18" customWidth="1" min="10" max="10"/>
  </cols>
  <sheetData>
    <row r="1">
      <c r="A1" s="1" t="inlineStr">
        <is>
          <t>PACKAGE BUILDER - Dropdown+Manual-&gt;Auto Quote</t>
        </is>
      </c>
    </row>
    <row r="2">
      <c r="A2" s="2" t="inlineStr">
        <is>
          <t>Yellow=input Blue=auto | Mode: Margin%&lt;-&gt;Sell</t>
        </is>
      </c>
    </row>
    <row r="4">
      <c r="A4" s="3" t="inlineStr">
        <is>
          <t>PACKAGE INFO (dropdowns)</t>
        </is>
      </c>
    </row>
    <row r="5">
      <c r="A5" s="5" t="inlineStr">
        <is>
          <t>Package Name</t>
        </is>
      </c>
      <c r="C5" s="7" t="inlineStr">
        <is>
          <t>New Package</t>
        </is>
      </c>
      <c r="D5" s="17" t="n"/>
      <c r="E5" s="18" t="n"/>
    </row>
    <row r="6">
      <c r="A6" s="5" t="inlineStr">
        <is>
          <t>Duration</t>
        </is>
      </c>
      <c r="C6" s="7" t="inlineStr">
        <is>
          <t>3N4D</t>
        </is>
      </c>
      <c r="D6" s="18" t="n"/>
      <c r="F6" s="5" t="inlineStr">
        <is>
          <t>Golfers</t>
        </is>
      </c>
      <c r="H6" s="7" t="n">
        <v>2</v>
      </c>
    </row>
    <row r="7">
      <c r="A7" s="5" t="inlineStr">
        <is>
          <t>Hotel Nights (auto)</t>
        </is>
      </c>
      <c r="C7" s="19">
        <f>IF(C6="3N4D",3,IF(C6="4N5D",4,IF(C6="5N6D",5,IF(C6="6N7D",6,IF(C6="7N8D",7,IF(C6="10N11D",10,IF(C6="12N13D",12,3)))))))</f>
        <v/>
      </c>
      <c r="D7" s="18" t="n"/>
      <c r="F7" s="5" t="inlineStr">
        <is>
          <t>Travel Days (auto)</t>
        </is>
      </c>
      <c r="H7" s="19">
        <f>C7+1</f>
        <v/>
      </c>
    </row>
    <row r="9">
      <c r="A9" s="3" t="inlineStr">
        <is>
          <t>GOLF ROUNDS (dropdown course + mode + rounds)</t>
        </is>
      </c>
    </row>
    <row r="10">
      <c r="A10" s="4" t="inlineStr">
        <is>
          <t>#</t>
        </is>
      </c>
      <c r="B10" s="4" t="inlineStr">
        <is>
          <t>Mode</t>
        </is>
      </c>
      <c r="C10" s="4" t="inlineStr">
        <is>
          <t>Course</t>
        </is>
      </c>
      <c r="D10" s="4" t="inlineStr">
        <is>
          <t>Rounds</t>
        </is>
      </c>
      <c r="E10" s="4" t="inlineStr">
        <is>
          <t>Cost/rd</t>
        </is>
      </c>
      <c r="F10" s="4" t="inlineStr">
        <is>
          <t>Margin%</t>
        </is>
      </c>
      <c r="G10" s="4" t="inlineStr">
        <is>
          <t>Sell/rd</t>
        </is>
      </c>
      <c r="H10" s="4" t="inlineStr">
        <is>
          <t>TotCost</t>
        </is>
      </c>
      <c r="I10" s="4" t="inlineStr">
        <is>
          <t>TotSell</t>
        </is>
      </c>
      <c r="J10" s="4" t="inlineStr">
        <is>
          <t>Margin</t>
        </is>
      </c>
    </row>
    <row r="11">
      <c r="A11" s="20" t="n">
        <v>1</v>
      </c>
      <c r="B11" s="6" t="inlineStr">
        <is>
          <t>Margin%-&gt;Sell</t>
        </is>
      </c>
      <c r="C11" s="5" t="inlineStr">
        <is>
          <t>Trump National LA</t>
        </is>
      </c>
      <c r="D11" s="21" t="n">
        <v>2</v>
      </c>
      <c r="E11" s="9">
        <f>IF(C11="","",VLOOKUP(C11,Master Data!$A$6:$C$18,3,FALSE))</f>
        <v/>
      </c>
      <c r="F11" s="11">
        <f>IF(C11="","",IF(B11="Sell-&gt;Margin%",IF(E11&gt;0,(G11-E11)/E11,0),VLOOKUP(C11,Master Data!$A$6:$D$18,4,FALSE)))</f>
        <v/>
      </c>
      <c r="G11" s="9">
        <f>IF(C11="","",IF(B11="Margin%-&gt;Sell",E11*(1+F11),VLOOKUP(C11,Master Data!$A$6:$E$18,5,FALSE)))</f>
        <v/>
      </c>
      <c r="H11" s="9">
        <f>IF(AND(C11&lt;&gt;"",D11&gt;0),D11*E11,"")</f>
        <v/>
      </c>
      <c r="I11" s="9">
        <f>IF(AND(C11&lt;&gt;"",D11&gt;0),D11*G11,"")</f>
        <v/>
      </c>
      <c r="J11" s="9">
        <f>IF(I11&lt;&gt;"",I11-H11,"")</f>
        <v/>
      </c>
    </row>
    <row r="12">
      <c r="A12" s="20" t="n">
        <v>2</v>
      </c>
      <c r="B12" s="6" t="inlineStr">
        <is>
          <t>Margin%-&gt;Sell</t>
        </is>
      </c>
      <c r="C12" s="5" t="inlineStr">
        <is>
          <t>Sandpiper GC</t>
        </is>
      </c>
      <c r="D12" s="21" t="n">
        <v>2</v>
      </c>
      <c r="E12" s="9">
        <f>IF(C12="","",VLOOKUP(C12,Master Data!$A$6:$C$18,3,FALSE))</f>
        <v/>
      </c>
      <c r="F12" s="11">
        <f>IF(C12="","",IF(B12="Sell-&gt;Margin%",IF(E12&gt;0,(G12-E12)/E12,0),VLOOKUP(C12,Master Data!$A$6:$D$18,4,FALSE)))</f>
        <v/>
      </c>
      <c r="G12" s="9">
        <f>IF(C12="","",IF(B12="Margin%-&gt;Sell",E12*(1+F12),VLOOKUP(C12,Master Data!$A$6:$E$18,5,FALSE)))</f>
        <v/>
      </c>
      <c r="H12" s="9">
        <f>IF(AND(C12&lt;&gt;"",D12&gt;0),D12*E12,"")</f>
        <v/>
      </c>
      <c r="I12" s="9">
        <f>IF(AND(C12&lt;&gt;"",D12&gt;0),D12*G12,"")</f>
        <v/>
      </c>
      <c r="J12" s="9">
        <f>IF(I12&lt;&gt;"",I12-H12,"")</f>
        <v/>
      </c>
    </row>
    <row r="13">
      <c r="A13" s="20" t="n">
        <v>3</v>
      </c>
      <c r="B13" s="6" t="inlineStr">
        <is>
          <t>Sell-&gt;Margin%</t>
        </is>
      </c>
      <c r="C13" s="5" t="inlineStr">
        <is>
          <t>Hidden Valley GC</t>
        </is>
      </c>
      <c r="D13" s="21" t="n">
        <v>1</v>
      </c>
      <c r="E13" s="9">
        <f>IF(C13="","",VLOOKUP(C13,Master Data!$A$6:$C$18,3,FALSE))</f>
        <v/>
      </c>
      <c r="F13" s="11">
        <f>IF(C13="","",IF(B13="Sell-&gt;Margin%",IF(E13&gt;0,(G13-E13)/E13,0),VLOOKUP(C13,Master Data!$A$6:$D$18,4,FALSE)))</f>
        <v/>
      </c>
      <c r="G13" s="9">
        <f>IF(C13="","",IF(B13="Margin%-&gt;Sell",E13*(1+F13),VLOOKUP(C13,Master Data!$A$6:$E$18,5,FALSE)))</f>
        <v/>
      </c>
      <c r="H13" s="9">
        <f>IF(AND(C13&lt;&gt;"",D13&gt;0),D13*E13,"")</f>
        <v/>
      </c>
      <c r="I13" s="9">
        <f>IF(AND(C13&lt;&gt;"",D13&gt;0),D13*G13,"")</f>
        <v/>
      </c>
      <c r="J13" s="9">
        <f>IF(I13&lt;&gt;"",I13-H13,"")</f>
        <v/>
      </c>
    </row>
    <row r="14">
      <c r="A14" s="20" t="inlineStr"/>
      <c r="B14" s="14" t="inlineStr">
        <is>
          <t>Margin%-&gt;Sell</t>
        </is>
      </c>
      <c r="C14" s="13" t="inlineStr"/>
      <c r="D14" s="7" t="inlineStr"/>
      <c r="E14" s="9">
        <f>IF(C14="","",VLOOKUP(C14,Master Data!$A$6:$C$18,3,FALSE))</f>
        <v/>
      </c>
      <c r="F14" s="11">
        <f>IF(C14="","",IF(B14="Sell-&gt;Margin%",IF(E14&gt;0,(G14-E14)/E14,0),VLOOKUP(C14,Master Data!$A$6:$D$18,4,FALSE)))</f>
        <v/>
      </c>
      <c r="G14" s="9">
        <f>IF(C14="","",IF(B14="Margin%-&gt;Sell",E14*(1+F14),VLOOKUP(C14,Master Data!$A$6:$E$18,5,FALSE)))</f>
        <v/>
      </c>
      <c r="H14" s="9">
        <f>IF(AND(C14&lt;&gt;"",D14&gt;0),D14*E14,"")</f>
        <v/>
      </c>
      <c r="I14" s="9">
        <f>IF(AND(C14&lt;&gt;"",D14&gt;0),D14*G14,"")</f>
        <v/>
      </c>
      <c r="J14" s="9">
        <f>IF(I14&lt;&gt;"",I14-H14,"")</f>
        <v/>
      </c>
    </row>
    <row r="15">
      <c r="A15" s="20" t="inlineStr"/>
      <c r="B15" s="14" t="inlineStr">
        <is>
          <t>Margin%-&gt;Sell</t>
        </is>
      </c>
      <c r="C15" s="13" t="inlineStr"/>
      <c r="D15" s="7" t="inlineStr"/>
      <c r="E15" s="9">
        <f>IF(C15="","",VLOOKUP(C15,Master Data!$A$6:$C$18,3,FALSE))</f>
        <v/>
      </c>
      <c r="F15" s="11">
        <f>IF(C15="","",IF(B15="Sell-&gt;Margin%",IF(E15&gt;0,(G15-E15)/E15,0),VLOOKUP(C15,Master Data!$A$6:$D$18,4,FALSE)))</f>
        <v/>
      </c>
      <c r="G15" s="9">
        <f>IF(C15="","",IF(B15="Margin%-&gt;Sell",E15*(1+F15),VLOOKUP(C15,Master Data!$A$6:$E$18,5,FALSE)))</f>
        <v/>
      </c>
      <c r="H15" s="9">
        <f>IF(AND(C15&lt;&gt;"",D15&gt;0),D15*E15,"")</f>
        <v/>
      </c>
      <c r="I15" s="9">
        <f>IF(AND(C15&lt;&gt;"",D15&gt;0),D15*G15,"")</f>
        <v/>
      </c>
      <c r="J15" s="9">
        <f>IF(I15&lt;&gt;"",I15-H15,"")</f>
        <v/>
      </c>
    </row>
    <row r="16">
      <c r="A16" s="20" t="inlineStr"/>
      <c r="B16" s="14" t="inlineStr">
        <is>
          <t>Margin%-&gt;Sell</t>
        </is>
      </c>
      <c r="C16" s="13" t="inlineStr"/>
      <c r="D16" s="7" t="inlineStr"/>
      <c r="E16" s="9">
        <f>IF(C16="","",VLOOKUP(C16,Master Data!$A$6:$C$18,3,FALSE))</f>
        <v/>
      </c>
      <c r="F16" s="11">
        <f>IF(C16="","",IF(B16="Sell-&gt;Margin%",IF(E16&gt;0,(G16-E16)/E16,0),VLOOKUP(C16,Master Data!$A$6:$D$18,4,FALSE)))</f>
        <v/>
      </c>
      <c r="G16" s="9">
        <f>IF(C16="","",IF(B16="Margin%-&gt;Sell",E16*(1+F16),VLOOKUP(C16,Master Data!$A$6:$E$18,5,FALSE)))</f>
        <v/>
      </c>
      <c r="H16" s="9">
        <f>IF(AND(C16&lt;&gt;"",D16&gt;0),D16*E16,"")</f>
        <v/>
      </c>
      <c r="I16" s="9">
        <f>IF(AND(C16&lt;&gt;"",D16&gt;0),D16*G16,"")</f>
        <v/>
      </c>
      <c r="J16" s="9">
        <f>IF(I16&lt;&gt;"",I16-H16,"")</f>
        <v/>
      </c>
    </row>
    <row r="17">
      <c r="A17" s="22" t="inlineStr">
        <is>
          <t>GOLF SUBTOTAL</t>
        </is>
      </c>
      <c r="B17" s="23" t="n"/>
      <c r="C17" s="23" t="n"/>
      <c r="D17" s="24" t="n"/>
      <c r="H17" s="25">
        <f>SUM(H11:H16)</f>
        <v/>
      </c>
      <c r="I17" s="25">
        <f>SUM(I11:I16)</f>
        <v/>
      </c>
      <c r="J17" s="25">
        <f>SUM(J11:J16)</f>
        <v/>
      </c>
    </row>
    <row r="19">
      <c r="A19" s="3" t="inlineStr">
        <is>
          <t>HOTEL (nights auto from package info)</t>
        </is>
      </c>
    </row>
    <row r="20">
      <c r="A20" s="4" t="inlineStr">
        <is>
          <t>#</t>
        </is>
      </c>
      <c r="B20" s="4" t="inlineStr">
        <is>
          <t>Mode</t>
        </is>
      </c>
      <c r="C20" s="4" t="inlineStr">
        <is>
          <t>Hotel</t>
        </is>
      </c>
      <c r="D20" s="4" t="inlineStr">
        <is>
          <t>Nights</t>
        </is>
      </c>
      <c r="E20" s="4" t="inlineStr">
        <is>
          <t>Cost/nt</t>
        </is>
      </c>
      <c r="F20" s="4" t="inlineStr">
        <is>
          <t>Margin%</t>
        </is>
      </c>
      <c r="G20" s="4" t="inlineStr">
        <is>
          <t>Sell/nt</t>
        </is>
      </c>
      <c r="H20" s="4" t="inlineStr">
        <is>
          <t>TotCost</t>
        </is>
      </c>
      <c r="I20" s="4" t="inlineStr">
        <is>
          <t>TotSell</t>
        </is>
      </c>
      <c r="J20" s="4" t="inlineStr">
        <is>
          <t>Margin</t>
        </is>
      </c>
    </row>
    <row r="21">
      <c r="A21" s="20" t="n">
        <v>1</v>
      </c>
      <c r="B21" s="6" t="inlineStr">
        <is>
          <t>Margin%-&gt;Sell</t>
        </is>
      </c>
      <c r="C21" s="5" t="inlineStr">
        <is>
          <t>Beverly Wilshire (5*)</t>
        </is>
      </c>
      <c r="D21" s="21">
        <f>$C$7</f>
        <v/>
      </c>
      <c r="E21" s="9">
        <f>IF(C21="","",VLOOKUP(C21,Master Data!$A$17:$C$27,3,FALSE))</f>
        <v/>
      </c>
      <c r="F21" s="11">
        <f>IF(C21="","",IF(B21="Sell-&gt;Margin%",IF(E21&gt;0,(G21-E21)/E21,0),VLOOKUP(C21,Master Data!$A$17:$D$27,4,FALSE)))</f>
        <v/>
      </c>
      <c r="G21" s="9">
        <f>IF(C21="","",IF(B21="Margin%-&gt;Sell",E21*(1+F21),VLOOKUP(C21,Master Data!$A$17:$E$27,5,FALSE)))</f>
        <v/>
      </c>
      <c r="H21" s="9">
        <f>IF(AND(C21&lt;&gt;"",D21&gt;0),D21*E21,"")</f>
        <v/>
      </c>
      <c r="I21" s="9">
        <f>IF(AND(C21&lt;&gt;"",D21&gt;0),D21*G21,"")</f>
        <v/>
      </c>
      <c r="J21" s="9">
        <f>IF(I21&lt;&gt;"",I21-H21,"")</f>
        <v/>
      </c>
    </row>
    <row r="22">
      <c r="A22" s="20" t="inlineStr"/>
      <c r="B22" s="14" t="inlineStr">
        <is>
          <t>Margin%-&gt;Sell</t>
        </is>
      </c>
      <c r="C22" s="13" t="inlineStr"/>
      <c r="D22" s="7" t="inlineStr"/>
      <c r="E22" s="9">
        <f>IF(C22="","",VLOOKUP(C22,Master Data!$A$17:$C$27,3,FALSE))</f>
        <v/>
      </c>
      <c r="F22" s="11">
        <f>IF(C22="","",IF(B22="Sell-&gt;Margin%",IF(E22&gt;0,(G22-E22)/E22,0),VLOOKUP(C22,Master Data!$A$17:$D$27,4,FALSE)))</f>
        <v/>
      </c>
      <c r="G22" s="9">
        <f>IF(C22="","",IF(B22="Margin%-&gt;Sell",E22*(1+F22),VLOOKUP(C22,Master Data!$A$17:$E$27,5,FALSE)))</f>
        <v/>
      </c>
      <c r="H22" s="9">
        <f>IF(AND(C22&lt;&gt;"",D22&gt;0),D22*E22,"")</f>
        <v/>
      </c>
      <c r="I22" s="9">
        <f>IF(AND(C22&lt;&gt;"",D22&gt;0),D22*G22,"")</f>
        <v/>
      </c>
      <c r="J22" s="9">
        <f>IF(I22&lt;&gt;"",I22-H22,"")</f>
        <v/>
      </c>
    </row>
    <row r="23">
      <c r="A23" s="20" t="inlineStr"/>
      <c r="B23" s="14" t="inlineStr">
        <is>
          <t>Margin%-&gt;Sell</t>
        </is>
      </c>
      <c r="C23" s="13" t="inlineStr"/>
      <c r="D23" s="7" t="inlineStr"/>
      <c r="E23" s="9">
        <f>IF(C23="","",VLOOKUP(C23,Master Data!$A$17:$C$27,3,FALSE))</f>
        <v/>
      </c>
      <c r="F23" s="11">
        <f>IF(C23="","",IF(B23="Sell-&gt;Margin%",IF(E23&gt;0,(G23-E23)/E23,0),VLOOKUP(C23,Master Data!$A$17:$D$27,4,FALSE)))</f>
        <v/>
      </c>
      <c r="G23" s="9">
        <f>IF(C23="","",IF(B23="Margin%-&gt;Sell",E23*(1+F23),VLOOKUP(C23,Master Data!$A$17:$E$27,5,FALSE)))</f>
        <v/>
      </c>
      <c r="H23" s="9">
        <f>IF(AND(C23&lt;&gt;"",D23&gt;0),D23*E23,"")</f>
        <v/>
      </c>
      <c r="I23" s="9">
        <f>IF(AND(C23&lt;&gt;"",D23&gt;0),D23*G23,"")</f>
        <v/>
      </c>
      <c r="J23" s="9">
        <f>IF(I23&lt;&gt;"",I23-H23,"")</f>
        <v/>
      </c>
    </row>
    <row r="24">
      <c r="A24" s="22" t="inlineStr">
        <is>
          <t>HOTEL SUBTOTAL</t>
        </is>
      </c>
      <c r="B24" s="23" t="n"/>
      <c r="C24" s="23" t="n"/>
      <c r="D24" s="24" t="n"/>
      <c r="H24" s="25">
        <f>SUM(H21:H23)</f>
        <v/>
      </c>
      <c r="I24" s="25">
        <f>SUM(I21:I23)</f>
        <v/>
      </c>
      <c r="J24" s="25">
        <f>SUM(J21:J23)</f>
        <v/>
      </c>
    </row>
    <row r="26">
      <c r="A26" s="3" t="inlineStr">
        <is>
          <t>TRANSPORT (travel days auto)</t>
        </is>
      </c>
    </row>
    <row r="27">
      <c r="A27" s="4" t="inlineStr">
        <is>
          <t>#</t>
        </is>
      </c>
      <c r="B27" s="4" t="inlineStr">
        <is>
          <t>Mode</t>
        </is>
      </c>
      <c r="C27" s="4" t="inlineStr">
        <is>
          <t>Item</t>
        </is>
      </c>
      <c r="D27" s="4" t="inlineStr">
        <is>
          <t>Days</t>
        </is>
      </c>
      <c r="E27" s="4" t="inlineStr">
        <is>
          <t>Cost/day</t>
        </is>
      </c>
      <c r="F27" s="4" t="inlineStr">
        <is>
          <t>Margin%</t>
        </is>
      </c>
      <c r="G27" s="4" t="inlineStr">
        <is>
          <t>Sell/day</t>
        </is>
      </c>
      <c r="H27" s="4" t="inlineStr">
        <is>
          <t>TotCost</t>
        </is>
      </c>
      <c r="I27" s="4" t="inlineStr">
        <is>
          <t>TotSell</t>
        </is>
      </c>
      <c r="J27" s="4" t="inlineStr">
        <is>
          <t>Margin</t>
        </is>
      </c>
    </row>
    <row r="28">
      <c r="A28" s="20" t="n">
        <v>1</v>
      </c>
      <c r="B28" s="6" t="inlineStr">
        <is>
          <t>Margin%-&gt;Sell</t>
        </is>
      </c>
      <c r="C28" s="5" t="inlineStr">
        <is>
          <t>Driver+Guide+Van (daily)</t>
        </is>
      </c>
      <c r="D28" s="21">
        <f>$C$8</f>
        <v/>
      </c>
      <c r="E28" s="9">
        <f>IF(C28="","",VLOOKUP(C28,Master Data!$A$25:$C$36,3,FALSE))</f>
        <v/>
      </c>
      <c r="F28" s="11">
        <f>IF(C28="","",IF(B28="Sell-&gt;Margin%",IF(E28&gt;0,(G28-E28)/E28,0),VLOOKUP(C28,Master Data!$A$25:$D$36,4,FALSE)))</f>
        <v/>
      </c>
      <c r="G28" s="9">
        <f>IF(C28="","",IF(B28="Margin%-&gt;Sell",E28*(1+F28),VLOOKUP(C28,Master Data!$A$25:$E$36,5,FALSE)))</f>
        <v/>
      </c>
      <c r="H28" s="9">
        <f>IF(AND(C28&lt;&gt;"",D28&gt;0),D28*E28,"")</f>
        <v/>
      </c>
      <c r="I28" s="9">
        <f>IF(AND(C28&lt;&gt;"",D28&gt;0),D28*G28,"")</f>
        <v/>
      </c>
      <c r="J28" s="9">
        <f>IF(I28&lt;&gt;"",I28-H28,"")</f>
        <v/>
      </c>
    </row>
    <row r="29">
      <c r="A29" s="20" t="n">
        <v>2</v>
      </c>
      <c r="B29" s="6" t="inlineStr">
        <is>
          <t>Margin%-&gt;Sell</t>
        </is>
      </c>
      <c r="C29" s="5" t="inlineStr">
        <is>
          <t>Airport RT pickup</t>
        </is>
      </c>
      <c r="D29" s="21" t="n">
        <v>2</v>
      </c>
      <c r="E29" s="9">
        <f>IF(C29="","",VLOOKUP(C29,Master Data!$A$25:$C$36,3,FALSE))</f>
        <v/>
      </c>
      <c r="F29" s="11">
        <f>IF(C29="","",IF(B29="Sell-&gt;Margin%",IF(E29&gt;0,(G29-E29)/E29,0),VLOOKUP(C29,Master Data!$A$25:$D$36,4,FALSE)))</f>
        <v/>
      </c>
      <c r="G29" s="9">
        <f>IF(C29="","",IF(B29="Margin%-&gt;Sell",E29*(1+F29),VLOOKUP(C29,Master Data!$A$25:$E$36,5,FALSE)))</f>
        <v/>
      </c>
      <c r="H29" s="9">
        <f>IF(AND(C29&lt;&gt;"",D29&gt;0),D29*E29,"")</f>
        <v/>
      </c>
      <c r="I29" s="9">
        <f>IF(AND(C29&lt;&gt;"",D29&gt;0),D29*G29,"")</f>
        <v/>
      </c>
      <c r="J29" s="9">
        <f>IF(I29&lt;&gt;"",I29-H29,"")</f>
        <v/>
      </c>
    </row>
    <row r="30">
      <c r="A30" s="20" t="inlineStr"/>
      <c r="B30" s="14" t="inlineStr">
        <is>
          <t>Margin%-&gt;Sell</t>
        </is>
      </c>
      <c r="C30" s="13" t="inlineStr"/>
      <c r="D30" s="7" t="inlineStr"/>
      <c r="E30" s="9">
        <f>IF(C30="","",VLOOKUP(C30,Master Data!$A$25:$C$36,3,FALSE))</f>
        <v/>
      </c>
      <c r="F30" s="11">
        <f>IF(C30="","",IF(B30="Sell-&gt;Margin%",IF(E30&gt;0,(G30-E30)/E30,0),VLOOKUP(C30,Master Data!$A$25:$D$36,4,FALSE)))</f>
        <v/>
      </c>
      <c r="G30" s="9">
        <f>IF(C30="","",IF(B30="Margin%-&gt;Sell",E30*(1+F30),VLOOKUP(C30,Master Data!$A$25:$E$36,5,FALSE)))</f>
        <v/>
      </c>
      <c r="H30" s="9">
        <f>IF(AND(C30&lt;&gt;"",D30&gt;0),D30*E30,"")</f>
        <v/>
      </c>
      <c r="I30" s="9">
        <f>IF(AND(C30&lt;&gt;"",D30&gt;0),D30*G30,"")</f>
        <v/>
      </c>
      <c r="J30" s="9">
        <f>IF(I30&lt;&gt;"",I30-H30,"")</f>
        <v/>
      </c>
    </row>
    <row r="31">
      <c r="A31" s="20" t="inlineStr"/>
      <c r="B31" s="14" t="inlineStr">
        <is>
          <t>Margin%-&gt;Sell</t>
        </is>
      </c>
      <c r="C31" s="13" t="inlineStr"/>
      <c r="D31" s="7" t="inlineStr"/>
      <c r="E31" s="9">
        <f>IF(C31="","",VLOOKUP(C31,Master Data!$A$25:$C$36,3,FALSE))</f>
        <v/>
      </c>
      <c r="F31" s="11">
        <f>IF(C31="","",IF(B31="Sell-&gt;Margin%",IF(E31&gt;0,(G31-E31)/E31,0),VLOOKUP(C31,Master Data!$A$25:$D$36,4,FALSE)))</f>
        <v/>
      </c>
      <c r="G31" s="9">
        <f>IF(C31="","",IF(B31="Margin%-&gt;Sell",E31*(1+F31),VLOOKUP(C31,Master Data!$A$25:$E$36,5,FALSE)))</f>
        <v/>
      </c>
      <c r="H31" s="9">
        <f>IF(AND(C31&lt;&gt;"",D31&gt;0),D31*E31,"")</f>
        <v/>
      </c>
      <c r="I31" s="9">
        <f>IF(AND(C31&lt;&gt;"",D31&gt;0),D31*G31,"")</f>
        <v/>
      </c>
      <c r="J31" s="9">
        <f>IF(I31&lt;&gt;"",I31-H31,"")</f>
        <v/>
      </c>
    </row>
    <row r="32">
      <c r="A32" s="22" t="inlineStr">
        <is>
          <t>TRANSPORT SUBTOTAL</t>
        </is>
      </c>
      <c r="B32" s="23" t="n"/>
      <c r="C32" s="23" t="n"/>
      <c r="D32" s="24" t="n"/>
      <c r="H32" s="25">
        <f>SUM(H28:H31)</f>
        <v/>
      </c>
      <c r="I32" s="25">
        <f>SUM(I28:I31)</f>
        <v/>
      </c>
      <c r="J32" s="25">
        <f>SUM(J28:J31)</f>
        <v/>
      </c>
    </row>
    <row r="34">
      <c r="A34" s="3" t="inlineStr">
        <is>
          <t>MEALS and OTHER</t>
        </is>
      </c>
    </row>
    <row r="35">
      <c r="A35" s="4" t="inlineStr">
        <is>
          <t>#</t>
        </is>
      </c>
      <c r="B35" s="4" t="inlineStr">
        <is>
          <t>Mode</t>
        </is>
      </c>
      <c r="C35" s="4" t="inlineStr">
        <is>
          <t>Item</t>
        </is>
      </c>
      <c r="D35" s="4" t="inlineStr">
        <is>
          <t>Qty</t>
        </is>
      </c>
      <c r="E35" s="4" t="inlineStr">
        <is>
          <t>Cost/unit</t>
        </is>
      </c>
      <c r="F35" s="4" t="inlineStr">
        <is>
          <t>Margin%</t>
        </is>
      </c>
      <c r="G35" s="4" t="inlineStr">
        <is>
          <t>Sell/unit</t>
        </is>
      </c>
      <c r="H35" s="4" t="inlineStr">
        <is>
          <t>TotCost</t>
        </is>
      </c>
      <c r="I35" s="4" t="inlineStr">
        <is>
          <t>TotSell</t>
        </is>
      </c>
      <c r="J35" s="4" t="inlineStr">
        <is>
          <t>Margin</t>
        </is>
      </c>
    </row>
    <row r="36">
      <c r="A36" s="20" t="n">
        <v>1</v>
      </c>
      <c r="B36" s="6" t="inlineStr">
        <is>
          <t>Margin%-&gt;Sell</t>
        </is>
      </c>
      <c r="C36" s="5" t="inlineStr">
        <is>
          <t>Meal Package (3 meals)</t>
        </is>
      </c>
      <c r="D36" s="21">
        <f>$C$7</f>
        <v/>
      </c>
      <c r="E36" s="12" t="n">
        <v>150</v>
      </c>
      <c r="F36" s="8" t="n">
        <v>0.5</v>
      </c>
      <c r="G36" s="9">
        <f>IF(AND(C36&lt;&gt;"",E36&lt;&gt;""),IF(B36="Margin%-&gt;Sell",E36*(1+F36),G36),"")</f>
        <v/>
      </c>
      <c r="H36" s="9">
        <f>IF(AND(C36&lt;&gt;"",D36&gt;0,E36&lt;&gt;""),D36*E36,"")</f>
        <v/>
      </c>
      <c r="I36" s="9">
        <f>IF(AND(C36&lt;&gt;"",D36&gt;0,G36&lt;&gt;""),D36*G36,"")</f>
        <v/>
      </c>
      <c r="J36" s="9">
        <f>IF(I36&lt;&gt;"",I36-H36,"")</f>
        <v/>
      </c>
    </row>
    <row r="37">
      <c r="A37" s="20" t="n">
        <v>2</v>
      </c>
      <c r="B37" s="6" t="inlineStr">
        <is>
          <t>Margin%-&gt;Sell</t>
        </is>
      </c>
      <c r="C37" s="5" t="inlineStr">
        <is>
          <t>Misc (insurance,tips)</t>
        </is>
      </c>
      <c r="D37" s="21">
        <f>$C$8</f>
        <v/>
      </c>
      <c r="E37" s="12" t="n">
        <v>50</v>
      </c>
      <c r="F37" s="8" t="n">
        <v>0.5</v>
      </c>
      <c r="G37" s="9">
        <f>IF(AND(C37&lt;&gt;"",E37&lt;&gt;""),IF(B37="Margin%-&gt;Sell",E37*(1+F37),G37),"")</f>
        <v/>
      </c>
      <c r="H37" s="9">
        <f>IF(AND(C37&lt;&gt;"",D37&gt;0,E37&lt;&gt;""),D37*E37,"")</f>
        <v/>
      </c>
      <c r="I37" s="9">
        <f>IF(AND(C37&lt;&gt;"",D37&gt;0,G37&lt;&gt;""),D37*G37,"")</f>
        <v/>
      </c>
      <c r="J37" s="9">
        <f>IF(I37&lt;&gt;"",I37-H37,"")</f>
        <v/>
      </c>
    </row>
    <row r="38">
      <c r="A38" s="20" t="inlineStr"/>
      <c r="B38" s="14" t="inlineStr">
        <is>
          <t>Margin%-&gt;Sell</t>
        </is>
      </c>
      <c r="C38" s="13" t="inlineStr"/>
      <c r="D38" s="7" t="inlineStr"/>
      <c r="E38" s="7" t="inlineStr"/>
      <c r="F38" s="7" t="inlineStr"/>
      <c r="G38" s="9">
        <f>IF(AND(C38&lt;&gt;"",E38&lt;&gt;""),IF(B38="Margin%-&gt;Sell",E38*(1+F38),G38),"")</f>
        <v/>
      </c>
      <c r="H38" s="9">
        <f>IF(AND(C38&lt;&gt;"",D38&gt;0,E38&lt;&gt;""),D38*E38,"")</f>
        <v/>
      </c>
      <c r="I38" s="9">
        <f>IF(AND(C38&lt;&gt;"",D38&gt;0,G38&lt;&gt;""),D38*G38,"")</f>
        <v/>
      </c>
      <c r="J38" s="9">
        <f>IF(I38&lt;&gt;"",I38-H38,"")</f>
        <v/>
      </c>
    </row>
    <row r="39">
      <c r="A39" s="20" t="inlineStr"/>
      <c r="B39" s="14" t="inlineStr">
        <is>
          <t>Margin%-&gt;Sell</t>
        </is>
      </c>
      <c r="C39" s="13" t="inlineStr"/>
      <c r="D39" s="7" t="inlineStr"/>
      <c r="E39" s="7" t="inlineStr"/>
      <c r="F39" s="7" t="inlineStr"/>
      <c r="G39" s="9">
        <f>IF(AND(C39&lt;&gt;"",E39&lt;&gt;""),IF(B39="Margin%-&gt;Sell",E39*(1+F39),G39),"")</f>
        <v/>
      </c>
      <c r="H39" s="9">
        <f>IF(AND(C39&lt;&gt;"",D39&gt;0,E39&lt;&gt;""),D39*E39,"")</f>
        <v/>
      </c>
      <c r="I39" s="9">
        <f>IF(AND(C39&lt;&gt;"",D39&gt;0,G39&lt;&gt;""),D39*G39,"")</f>
        <v/>
      </c>
      <c r="J39" s="9">
        <f>IF(I39&lt;&gt;"",I39-H39,"")</f>
        <v/>
      </c>
    </row>
    <row r="40">
      <c r="A40" s="20" t="inlineStr"/>
      <c r="B40" s="14" t="inlineStr">
        <is>
          <t>Margin%-&gt;Sell</t>
        </is>
      </c>
      <c r="C40" s="13" t="inlineStr"/>
      <c r="D40" s="7" t="inlineStr"/>
      <c r="E40" s="7" t="inlineStr"/>
      <c r="F40" s="7" t="inlineStr"/>
      <c r="G40" s="9">
        <f>IF(AND(C40&lt;&gt;"",E40&lt;&gt;""),IF(B40="Margin%-&gt;Sell",E40*(1+F40),G40),"")</f>
        <v/>
      </c>
      <c r="H40" s="9">
        <f>IF(AND(C40&lt;&gt;"",D40&gt;0,E40&lt;&gt;""),D40*E40,"")</f>
        <v/>
      </c>
      <c r="I40" s="9">
        <f>IF(AND(C40&lt;&gt;"",D40&gt;0,G40&lt;&gt;""),D40*G40,"")</f>
        <v/>
      </c>
      <c r="J40" s="9">
        <f>IF(I40&lt;&gt;"",I40-H40,"")</f>
        <v/>
      </c>
    </row>
    <row r="41">
      <c r="A41" s="22" t="inlineStr">
        <is>
          <t>MEALS+OTHER SUBTOTAL</t>
        </is>
      </c>
      <c r="B41" s="23" t="n"/>
      <c r="C41" s="23" t="n"/>
      <c r="D41" s="24" t="n"/>
      <c r="H41" s="25">
        <f>SUM(H36:H40)</f>
        <v/>
      </c>
      <c r="I41" s="25">
        <f>SUM(I36:I40)</f>
        <v/>
      </c>
      <c r="J41" s="25">
        <f>SUM(J36:J40)</f>
        <v/>
      </c>
    </row>
    <row r="43">
      <c r="A43" s="3" t="inlineStr">
        <is>
          <t>GRAND TOTAL</t>
        </is>
      </c>
    </row>
    <row r="44">
      <c r="A44" s="4" t="inlineStr"/>
      <c r="B44" s="4" t="inlineStr">
        <is>
          <t>Total Cost</t>
        </is>
      </c>
      <c r="C44" s="4" t="inlineStr">
        <is>
          <t>Total Sell</t>
        </is>
      </c>
      <c r="D44" s="4" t="inlineStr">
        <is>
          <t>Total Margin</t>
        </is>
      </c>
      <c r="E44" s="4" t="inlineStr">
        <is>
          <t>Margin%</t>
        </is>
      </c>
      <c r="F44" s="4" t="inlineStr">
        <is>
          <t>Per Person</t>
        </is>
      </c>
      <c r="G44" s="4" t="inlineStr"/>
    </row>
    <row r="45">
      <c r="A45" s="5" t="inlineStr">
        <is>
          <t>GOLF</t>
        </is>
      </c>
      <c r="B45" s="9">
        <f>H17</f>
        <v/>
      </c>
      <c r="C45" s="9">
        <f>I17</f>
        <v/>
      </c>
      <c r="D45" s="9">
        <f>J17</f>
        <v/>
      </c>
      <c r="E45" s="11">
        <f>IF(C45&gt;0,D45/C45,"")</f>
        <v/>
      </c>
      <c r="F45" s="9">
        <f>IF($C$8&gt;0,C45/$C$8,"")</f>
        <v/>
      </c>
    </row>
    <row r="46">
      <c r="A46" s="5" t="inlineStr">
        <is>
          <t>HOTEL</t>
        </is>
      </c>
      <c r="B46" s="9">
        <f>H24</f>
        <v/>
      </c>
      <c r="C46" s="9">
        <f>I24</f>
        <v/>
      </c>
      <c r="D46" s="9">
        <f>J24</f>
        <v/>
      </c>
      <c r="E46" s="11">
        <f>IF(C46&gt;0,D46/C46,"")</f>
        <v/>
      </c>
      <c r="F46" s="9">
        <f>IF($C$8&gt;0,C46/$C$8,"")</f>
        <v/>
      </c>
    </row>
    <row r="47">
      <c r="A47" s="5" t="inlineStr">
        <is>
          <t>TRANSPORT</t>
        </is>
      </c>
      <c r="B47" s="9">
        <f>H32</f>
        <v/>
      </c>
      <c r="C47" s="9">
        <f>I32</f>
        <v/>
      </c>
      <c r="D47" s="9">
        <f>J32</f>
        <v/>
      </c>
      <c r="E47" s="11">
        <f>IF(C47&gt;0,D47/C47,"")</f>
        <v/>
      </c>
      <c r="F47" s="9">
        <f>IF($C$8&gt;0,C47/$C$8,"")</f>
        <v/>
      </c>
    </row>
    <row r="48">
      <c r="A48" s="5" t="inlineStr">
        <is>
          <t>MEALS+OTHER</t>
        </is>
      </c>
      <c r="B48" s="9">
        <f>H41</f>
        <v/>
      </c>
      <c r="C48" s="9">
        <f>I41</f>
        <v/>
      </c>
      <c r="D48" s="9">
        <f>J41</f>
        <v/>
      </c>
      <c r="E48" s="11">
        <f>IF(C48&gt;0,D48/C48,"")</f>
        <v/>
      </c>
      <c r="F48" s="9">
        <f>IF($C$8&gt;0,C48/$C$8,"")</f>
        <v/>
      </c>
    </row>
    <row r="49">
      <c r="A49" s="26" t="inlineStr">
        <is>
          <t>TOTAL</t>
        </is>
      </c>
      <c r="B49" s="25">
        <f>SUM(B45:B48)</f>
        <v/>
      </c>
      <c r="C49" s="25">
        <f>SUM(C45:C48)</f>
        <v/>
      </c>
      <c r="D49" s="25">
        <f>SUM(D45:D48)</f>
        <v/>
      </c>
      <c r="E49" s="27">
        <f>IF(C49&gt;0,D49/C49,"")</f>
        <v/>
      </c>
      <c r="F49" s="25">
        <f>IF($C$8&gt;0,C49/$C$8,"")</f>
        <v/>
      </c>
      <c r="G49" s="26" t="n"/>
    </row>
    <row r="51">
      <c r="A51" s="3" t="inlineStr">
        <is>
          <t>PER PERSON QUICK REFERENCE</t>
        </is>
      </c>
    </row>
    <row r="52">
      <c r="A52" s="5" t="inlineStr">
        <is>
          <t>Golfers</t>
        </is>
      </c>
      <c r="B52" s="19">
        <f>$C$8</f>
        <v/>
      </c>
      <c r="D52" s="5" t="inlineStr">
        <is>
          <t>Per Person Total</t>
        </is>
      </c>
      <c r="E52" s="28">
        <f>IF(C52&gt;0,C49/C52,"")</f>
        <v/>
      </c>
    </row>
    <row r="53">
      <c r="A53" s="5" t="inlineStr">
        <is>
          <t>Duration</t>
        </is>
      </c>
      <c r="B53" s="6">
        <f>$C$6</f>
        <v/>
      </c>
      <c r="D53" s="5" t="inlineStr">
        <is>
          <t>Per Person Margin</t>
        </is>
      </c>
      <c r="E53" s="29">
        <f>IF(C52&gt;0,D49/C52,"")</f>
        <v/>
      </c>
    </row>
  </sheetData>
  <mergeCells count="16">
    <mergeCell ref="A1:J1"/>
    <mergeCell ref="A17:D17"/>
    <mergeCell ref="C6:D6"/>
    <mergeCell ref="C7:D7"/>
    <mergeCell ref="C5:E5"/>
    <mergeCell ref="A9:J9"/>
    <mergeCell ref="A34:J34"/>
    <mergeCell ref="A4:J4"/>
    <mergeCell ref="A24:D24"/>
    <mergeCell ref="A26:J26"/>
    <mergeCell ref="A2:J2"/>
    <mergeCell ref="A41:D41"/>
    <mergeCell ref="A43:J43"/>
    <mergeCell ref="A32:D32"/>
    <mergeCell ref="A19:J19"/>
    <mergeCell ref="A51:J51"/>
  </mergeCells>
  <dataValidations count="5">
    <dataValidation sqref="C6" showDropDown="0" showInputMessage="0" showErrorMessage="0" allowBlank="0" type="list">
      <formula1>"3N4D,4N5D,5N6D,6N7D,7N8D,10N11D,12N13D"</formula1>
    </dataValidation>
    <dataValidation sqref="H6" showDropDown="0" showInputMessage="0" showErrorMessage="0" allowBlank="0" type="list">
      <formula1>"1,2,3,4,5,6,7,8"</formula1>
    </dataValidation>
    <dataValidation sqref="C11 C12 C13 C14 C15 C16" showDropDown="0" showInputMessage="0" showErrorMessage="0" allowBlank="0" type="list">
      <formula1>'Master Data'!$A$6:$A$8</formula1>
    </dataValidation>
    <dataValidation sqref="B11 B12 B13 B14 B15 B16 B21 B22 B23 B28 B29 B30 B31 B36 B37 B38 B39 B40" showDropDown="0" showInputMessage="0" showErrorMessage="0" allowBlank="0" type="list">
      <formula1>"Margin%-&gt;Sell,Sell-&gt;Margin%"</formula1>
    </dataValidation>
    <dataValidation sqref="C21 C22 C23" showDropDown="0" showInputMessage="0" showErrorMessage="0" allowBlank="0" type="list">
      <formula1>'Master Data'!$A$17:$A$17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D32"/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4" customWidth="1" min="5" max="5"/>
    <col width="18" customWidth="1" min="6" max="6"/>
    <col width="18" customWidth="1" min="7" max="7"/>
  </cols>
  <sheetData>
    <row r="1">
      <c r="A1" s="1" t="inlineStr">
        <is>
          <t>PROFIT SUMMARY - Auto-linked to Package Builder</t>
        </is>
      </c>
    </row>
    <row r="2">
      <c r="A2" s="2" t="inlineStr">
        <is>
          <t>Changes in Package Builder auto-reflect here</t>
        </is>
      </c>
    </row>
    <row r="4">
      <c r="A4" s="4" t="inlineStr">
        <is>
          <t>Item</t>
        </is>
      </c>
      <c r="B4" s="4" t="inlineStr">
        <is>
          <t>Total Cost</t>
        </is>
      </c>
      <c r="C4" s="4" t="inlineStr">
        <is>
          <t>Total Sell</t>
        </is>
      </c>
      <c r="D4" s="4" t="inlineStr">
        <is>
          <t>Total Margin</t>
        </is>
      </c>
      <c r="E4" s="4" t="inlineStr">
        <is>
          <t>Margin%</t>
        </is>
      </c>
      <c r="F4" s="4" t="inlineStr">
        <is>
          <t>Per Person</t>
        </is>
      </c>
      <c r="G4" s="4" t="inlineStr">
        <is>
          <t>Per Person Margin</t>
        </is>
      </c>
    </row>
    <row r="5">
      <c r="A5" s="5" t="inlineStr">
        <is>
          <t>GOLF</t>
        </is>
      </c>
      <c r="B5" s="30">
        <f>'Package Builder'!H17</f>
        <v/>
      </c>
      <c r="C5" s="30">
        <f>'Package Builder'!I17</f>
        <v/>
      </c>
      <c r="D5" s="30">
        <f>'Package Builder'!J17</f>
        <v/>
      </c>
      <c r="E5" s="31">
        <f>IF(C5&gt;0,D5/C5,"")</f>
        <v/>
      </c>
      <c r="F5" s="30">
        <f>IF('Package Builder'!$C$8&gt;0,C5/'Package Builder'!$C$8,"")</f>
        <v/>
      </c>
      <c r="G5" s="30">
        <f>IF('Package Builder'!$C$8&gt;0,D5/'Package Builder'!$C$8,"")</f>
        <v/>
      </c>
    </row>
    <row r="6">
      <c r="A6" s="5" t="inlineStr">
        <is>
          <t>HOTEL</t>
        </is>
      </c>
      <c r="B6" s="30">
        <f>'Package Builder'!H24</f>
        <v/>
      </c>
      <c r="C6" s="30">
        <f>'Package Builder'!I24</f>
        <v/>
      </c>
      <c r="D6" s="30">
        <f>'Package Builder'!J24</f>
        <v/>
      </c>
      <c r="E6" s="31">
        <f>IF(C6&gt;0,D6/C6,"")</f>
        <v/>
      </c>
      <c r="F6" s="30">
        <f>IF('Package Builder'!$C$8&gt;0,C6/'Package Builder'!$C$8,"")</f>
        <v/>
      </c>
      <c r="G6" s="30">
        <f>IF('Package Builder'!$C$8&gt;0,D6/'Package Builder'!$C$8,"")</f>
        <v/>
      </c>
    </row>
    <row r="7">
      <c r="A7" s="5" t="inlineStr">
        <is>
          <t>TRANSPORT</t>
        </is>
      </c>
      <c r="B7" s="30">
        <f>'Package Builder'!H32</f>
        <v/>
      </c>
      <c r="C7" s="30">
        <f>'Package Builder'!I32</f>
        <v/>
      </c>
      <c r="D7" s="30">
        <f>'Package Builder'!J32</f>
        <v/>
      </c>
      <c r="E7" s="31">
        <f>IF(C7&gt;0,D7/C7,"")</f>
        <v/>
      </c>
      <c r="F7" s="30">
        <f>IF('Package Builder'!$C$8&gt;0,C7/'Package Builder'!$C$8,"")</f>
        <v/>
      </c>
      <c r="G7" s="30">
        <f>IF('Package Builder'!$C$8&gt;0,D7/'Package Builder'!$C$8,"")</f>
        <v/>
      </c>
    </row>
    <row r="8">
      <c r="A8" s="5" t="inlineStr">
        <is>
          <t>MEALS+OTHER</t>
        </is>
      </c>
      <c r="B8" s="30">
        <f>'Package Builder'!H41</f>
        <v/>
      </c>
      <c r="C8" s="30">
        <f>'Package Builder'!I41</f>
        <v/>
      </c>
      <c r="D8" s="30">
        <f>'Package Builder'!J41</f>
        <v/>
      </c>
      <c r="E8" s="31">
        <f>IF(C8&gt;0,D8/C8,"")</f>
        <v/>
      </c>
      <c r="F8" s="30">
        <f>IF('Package Builder'!$C$8&gt;0,C8/'Package Builder'!$C$8,"")</f>
        <v/>
      </c>
      <c r="G8" s="30">
        <f>IF('Package Builder'!$C$8&gt;0,D8/'Package Builder'!$C$8,"")</f>
        <v/>
      </c>
    </row>
    <row r="10">
      <c r="A10" s="3" t="inlineStr">
        <is>
          <t>GRAND TOTAL</t>
        </is>
      </c>
    </row>
    <row r="11">
      <c r="A11" s="32" t="inlineStr">
        <is>
          <t>Total Cost</t>
        </is>
      </c>
      <c r="B11" s="33">
        <f>SUM(B5:B9)</f>
        <v/>
      </c>
    </row>
    <row r="12">
      <c r="A12" s="32" t="inlineStr">
        <is>
          <t>Overall Margin%</t>
        </is>
      </c>
      <c r="B12" s="34">
        <f>IF(C11&gt;0,D11/C11,"")</f>
        <v/>
      </c>
      <c r="C12" s="33">
        <f>SUM(C5:C9)</f>
        <v/>
      </c>
      <c r="D12" s="32" t="inlineStr">
        <is>
          <t>Per Person Total Sell</t>
        </is>
      </c>
      <c r="E12" s="35">
        <f>IF('Package Builder'!$C$8&gt;0,C11/'Package Builder'!$C$8,"")</f>
        <v/>
      </c>
    </row>
    <row r="13">
      <c r="D13" s="33">
        <f>SUM(D5:D9)</f>
        <v/>
      </c>
    </row>
  </sheetData>
  <mergeCells count="3">
    <mergeCell ref="A2:G2"/>
    <mergeCell ref="A1:G1"/>
    <mergeCell ref="A10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2026-05-21T06:20:43Z</dcterms:created>
  <dcterms:modified xmlns:dcterms="http://purl.org/dc/terms/" xmlns:xsi="http://www.w3.org/2001/XMLSchema-instance" xsi:type="dcterms:W3CDTF">2026-05-21T06:20:43Z</dcterms:modified>
</cp:coreProperties>
</file>