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Data" sheetId="1" state="visible" r:id="rId1"/>
    <sheet xmlns:r="http://schemas.openxmlformats.org/officeDocument/2006/relationships" name="Package Builder" sheetId="2" state="visible" r:id="rId2"/>
    <sheet xmlns:r="http://schemas.openxmlformats.org/officeDocument/2006/relationships" name="Profit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1A3450"/>
      <sz val="14"/>
    </font>
    <font>
      <name val="Calibri"/>
      <i val="1"/>
      <color rgb="00888888"/>
      <sz val="9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9"/>
    </font>
    <font>
      <name val="Calibri"/>
      <i val="1"/>
      <color rgb="00AAAAAA"/>
      <sz val="9"/>
    </font>
    <font>
      <name val="Calibri"/>
      <i val="1"/>
      <sz val="9"/>
    </font>
    <font>
      <name val="Calibri"/>
      <sz val="10"/>
    </font>
    <font>
      <name val="Calibri"/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450"/>
        <bgColor rgb="001A3450"/>
      </patternFill>
    </fill>
    <fill>
      <patternFill patternType="solid">
        <fgColor rgb="00FFFF00"/>
        <bgColor rgb="00FFFF00"/>
      </patternFill>
    </fill>
    <fill>
      <patternFill patternType="solid">
        <fgColor rgb="00C6EFCE"/>
        <bgColor rgb="00C6EFCE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0" fontId="6" fillId="0" borderId="1" pivotButton="0" quotePrefix="0" xfId="0"/>
    <xf numFmtId="0" fontId="3" fillId="5" borderId="0" pivotButton="0" quotePrefix="0" xfId="0"/>
    <xf numFmtId="0" fontId="8" fillId="3" borderId="1" pivotButton="0" quotePrefix="0" xfId="0"/>
    <xf numFmtId="3" fontId="5" fillId="6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7" fillId="3" borderId="1" pivotButton="0" quotePrefix="0" xfId="0"/>
    <xf numFmtId="0" fontId="0" fillId="2" borderId="1" pivotButton="0" quotePrefix="0" xfId="0"/>
    <xf numFmtId="0" fontId="10" fillId="2" borderId="1" pivotButton="0" quotePrefix="0" xfId="0"/>
    <xf numFmtId="0" fontId="0" fillId="0" borderId="1" pivotButton="0" quotePrefix="0" xfId="0"/>
    <xf numFmtId="3" fontId="5" fillId="3" borderId="1" applyAlignment="1" pivotButton="0" quotePrefix="0" xfId="0">
      <alignment horizontal="center" vertical="center"/>
    </xf>
    <xf numFmtId="3" fontId="1" fillId="4" borderId="2" applyAlignment="1" pivotButton="0" quotePrefix="0" xfId="0">
      <alignment horizontal="center" vertical="center"/>
    </xf>
    <xf numFmtId="3" fontId="1" fillId="4" borderId="0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4" fontId="1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3450"/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42" customWidth="1" min="7" max="7"/>
  </cols>
  <sheetData>
    <row r="1">
      <c r="A1" s="1" t="inlineStr">
        <is>
          <t>📊 MASTER DATA — 🟡 노란색만 직접입력 | 🟢 초록색=자동계산</t>
        </is>
      </c>
    </row>
    <row r="2">
      <c r="A2" s="2" t="inlineStr">
        <is>
          <t>⚠️ 노란색 셀(Cost, Margin%) 변경 시 Package Builder 전체 자동 반영 | 2026-05-20</t>
        </is>
      </c>
    </row>
    <row r="3"/>
    <row r="4">
      <c r="A4" s="3" t="inlineStr">
        <is>
          <t>⛳ 골프 코스 (1인 1라운드, USD)</t>
        </is>
      </c>
    </row>
    <row r="5">
      <c r="A5" s="4" t="inlineStr">
        <is>
          <t>코스명</t>
        </is>
      </c>
      <c r="B5" s="4" t="inlineStr">
        <is>
          <t>원가(Cost)</t>
        </is>
      </c>
      <c r="C5" s="4" t="inlineStr">
        <is>
          <t>마진율(%)</t>
        </is>
      </c>
      <c r="D5" s="4" t="inlineStr">
        <is>
          <t>판매가(Sell)</t>
        </is>
      </c>
      <c r="E5" s="4" t="inlineStr">
        <is>
          <t>단위마진</t>
        </is>
      </c>
      <c r="F5" s="4" t="inlineStr">
        <is>
          <t>추가마진</t>
        </is>
      </c>
      <c r="G5" s="4" t="inlineStr">
        <is>
          <t>특이사항</t>
        </is>
      </c>
    </row>
    <row r="6">
      <c r="A6" s="5" t="inlineStr">
        <is>
          <t>Trump National LA</t>
        </is>
      </c>
      <c r="B6" s="6" t="n">
        <v>210</v>
      </c>
      <c r="C6" s="7" t="n">
        <v>1.381</v>
      </c>
      <c r="D6" s="8">
        <f>IF(C6&gt;0,B6*(1+C6),B6)</f>
        <v/>
      </c>
      <c r="E6" s="8">
        <f>D6-B6</f>
        <v/>
      </c>
      <c r="F6" s="6" t="n">
        <v>0</v>
      </c>
      <c r="G6" s="9" t="inlineStr">
        <is>
          <t>멤버십 게스트 | Cart포함</t>
        </is>
      </c>
    </row>
    <row r="7">
      <c r="A7" s="5" t="inlineStr">
        <is>
          <t>Sandpiper GC</t>
        </is>
      </c>
      <c r="B7" s="6" t="n">
        <v>130</v>
      </c>
      <c r="C7" s="7" t="n">
        <v>0.885</v>
      </c>
      <c r="D7" s="8">
        <f>IF(C7&gt;0,B7*(1+C7),B7)</f>
        <v/>
      </c>
      <c r="E7" s="8">
        <f>D7-B7</f>
        <v/>
      </c>
      <c r="F7" s="6" t="n">
        <v>245</v>
      </c>
      <c r="G7" s="9" t="inlineStr">
        <is>
          <t>UnderPar.com | 리플레이 무료</t>
        </is>
      </c>
    </row>
    <row r="8">
      <c r="A8" s="5" t="inlineStr">
        <is>
          <t>Hidden Valley GC</t>
        </is>
      </c>
      <c r="B8" s="6" t="n">
        <v>109</v>
      </c>
      <c r="C8" s="7" t="n">
        <v>0</v>
      </c>
      <c r="D8" s="8">
        <f>IF(C8&gt;0,B8*(1+C8),B8)</f>
        <v/>
      </c>
      <c r="E8" s="8">
        <f>D8-B8</f>
        <v/>
      </c>
      <c r="F8" s="6" t="n">
        <v>12.11</v>
      </c>
      <c r="G8" s="9" t="inlineStr">
        <is>
          <t>Weekend Prime | 9Stamp=1무료</t>
        </is>
      </c>
    </row>
    <row r="9"/>
    <row r="10">
      <c r="A10" s="10" t="inlineStr">
        <is>
          <t>➕ 추가 ⛳ 골프 코스 (노란색 셀에 직접 입력)</t>
        </is>
      </c>
    </row>
    <row r="11">
      <c r="A11" s="11" t="inlineStr">
        <is>
          <t>New 1</t>
        </is>
      </c>
      <c r="B11" s="11" t="n"/>
      <c r="C11" s="11" t="n"/>
      <c r="D11" s="8">
        <f>IF(AND(B11&lt;&gt;"",B11&gt;0),IF(C11&gt;0,B11*(1+C11),B11),"")</f>
        <v/>
      </c>
      <c r="E11" s="12">
        <f>IF(D11&lt;&gt;"",D11-B11,"")</f>
        <v/>
      </c>
      <c r="F11" s="11" t="n"/>
      <c r="G11" s="11" t="n"/>
    </row>
    <row r="12">
      <c r="A12" s="11" t="inlineStr">
        <is>
          <t>New 2</t>
        </is>
      </c>
      <c r="B12" s="11" t="n"/>
      <c r="C12" s="11" t="n"/>
      <c r="D12" s="8">
        <f>IF(AND(B12&lt;&gt;"",B12&gt;0),IF(C12&gt;0,B12*(1+C12),B12),"")</f>
        <v/>
      </c>
      <c r="E12" s="12">
        <f>IF(D12&lt;&gt;"",D12-B12,"")</f>
        <v/>
      </c>
      <c r="F12" s="11" t="n"/>
      <c r="G12" s="11" t="n"/>
    </row>
    <row r="13">
      <c r="A13" s="11" t="inlineStr">
        <is>
          <t>New 3</t>
        </is>
      </c>
      <c r="B13" s="11" t="n"/>
      <c r="C13" s="11" t="n"/>
      <c r="D13" s="8">
        <f>IF(AND(B13&lt;&gt;"",B13&gt;0),IF(C13&gt;0,B13*(1+C13),B13),"")</f>
        <v/>
      </c>
      <c r="E13" s="12">
        <f>IF(D13&lt;&gt;"",D13-B13,"")</f>
        <v/>
      </c>
      <c r="F13" s="11" t="n"/>
      <c r="G13" s="11" t="n"/>
    </row>
    <row r="14"/>
    <row r="15">
      <c r="A15" s="3" t="inlineStr">
        <is>
          <t>🏨 숙소 (1인 1박, Double Occupancy)</t>
        </is>
      </c>
    </row>
    <row r="16">
      <c r="A16" s="4" t="inlineStr">
        <is>
          <t>호텔명</t>
        </is>
      </c>
      <c r="B16" s="4" t="inlineStr">
        <is>
          <t>원가(Cost)/인/박</t>
        </is>
      </c>
      <c r="C16" s="4" t="inlineStr">
        <is>
          <t>마진율(%)</t>
        </is>
      </c>
      <c r="D16" s="4" t="inlineStr">
        <is>
          <t>판매가(Sell)/인/박</t>
        </is>
      </c>
      <c r="E16" s="4" t="inlineStr">
        <is>
          <t>단위마진</t>
        </is>
      </c>
      <c r="F16" s="4" t="inlineStr"/>
      <c r="G16" s="4" t="inlineStr">
        <is>
          <t>비고</t>
        </is>
      </c>
    </row>
    <row r="17">
      <c r="A17" s="5" t="inlineStr">
        <is>
          <t>Beverly Wilshire (5★)</t>
        </is>
      </c>
      <c r="B17" s="6" t="n">
        <v>275</v>
      </c>
      <c r="C17" s="7" t="n">
        <v>0.364</v>
      </c>
      <c r="D17" s="8">
        <f>IF(C17&gt;0,B17*(1+C17),B17)</f>
        <v/>
      </c>
      <c r="E17" s="8">
        <f>D17-B17</f>
        <v/>
      </c>
      <c r="F17" s="6" t="n">
        <v>0</v>
      </c>
      <c r="G17" s="9" t="inlineStr">
        <is>
          <t>$550/room ÷ 2인</t>
        </is>
      </c>
    </row>
    <row r="18"/>
    <row r="19">
      <c r="A19" s="10" t="inlineStr">
        <is>
          <t>➕ 추가 🏨 숙소 (노란색 셀에 직접 입력)</t>
        </is>
      </c>
    </row>
    <row r="20">
      <c r="A20" s="11" t="inlineStr">
        <is>
          <t>New 1</t>
        </is>
      </c>
      <c r="B20" s="11" t="n"/>
      <c r="C20" s="11" t="n"/>
      <c r="D20" s="8">
        <f>IF(AND(B20&lt;&gt;"",B20&gt;0),IF(C20&gt;0,B20*(1+C20),B20),"")</f>
        <v/>
      </c>
      <c r="E20" s="12">
        <f>IF(D20&lt;&gt;"",D20-B20,"")</f>
        <v/>
      </c>
      <c r="F20" s="11" t="n"/>
      <c r="G20" s="11" t="n"/>
    </row>
    <row r="21">
      <c r="A21" s="11" t="inlineStr">
        <is>
          <t>New 2</t>
        </is>
      </c>
      <c r="B21" s="11" t="n"/>
      <c r="C21" s="11" t="n"/>
      <c r="D21" s="8">
        <f>IF(AND(B21&lt;&gt;"",B21&gt;0),IF(C21&gt;0,B21*(1+C21),B21),"")</f>
        <v/>
      </c>
      <c r="E21" s="12">
        <f>IF(D21&lt;&gt;"",D21-B21,"")</f>
        <v/>
      </c>
      <c r="F21" s="11" t="n"/>
      <c r="G21" s="11" t="n"/>
    </row>
    <row r="22"/>
    <row r="23">
      <c r="A23" s="3" t="inlineStr">
        <is>
          <t>🚐 교통 (1인 기준, 4인 1조)</t>
        </is>
      </c>
    </row>
    <row r="24">
      <c r="A24" s="4" t="inlineStr">
        <is>
          <t>항목</t>
        </is>
      </c>
      <c r="B24" s="4" t="inlineStr">
        <is>
          <t>원가(Cost)/인</t>
        </is>
      </c>
      <c r="C24" s="4" t="inlineStr">
        <is>
          <t>마진율(%)</t>
        </is>
      </c>
      <c r="D24" s="4" t="inlineStr">
        <is>
          <t>판매가(Sell)/인</t>
        </is>
      </c>
      <c r="E24" s="4" t="inlineStr">
        <is>
          <t>단위마진</t>
        </is>
      </c>
      <c r="F24" s="4" t="inlineStr"/>
      <c r="G24" s="4" t="inlineStr">
        <is>
          <t>비고</t>
        </is>
      </c>
    </row>
    <row r="25">
      <c r="A25" s="5" t="inlineStr">
        <is>
          <t>Driver+Guide+밴 (일당)</t>
        </is>
      </c>
      <c r="B25" s="6" t="n">
        <v>125</v>
      </c>
      <c r="C25" s="7" t="n">
        <v>0.4</v>
      </c>
      <c r="D25" s="8">
        <f>IF(C25&gt;0,B25*(1+C25),B25)</f>
        <v/>
      </c>
      <c r="E25" s="8">
        <f>D25-B25</f>
        <v/>
      </c>
      <c r="F25" s="6" t="n">
        <v>0</v>
      </c>
      <c r="G25" s="9" t="inlineStr">
        <is>
          <t>$500/일 ÷ 4인</t>
        </is>
      </c>
    </row>
    <row r="26">
      <c r="A26" s="5" t="inlineStr">
        <is>
          <t>공항 왕복 픽업</t>
        </is>
      </c>
      <c r="B26" s="6" t="n">
        <v>75</v>
      </c>
      <c r="C26" s="7" t="n">
        <v>0.6</v>
      </c>
      <c r="D26" s="8">
        <f>IF(C26&gt;0,B26*(1+C26),B26)</f>
        <v/>
      </c>
      <c r="E26" s="8">
        <f>D26-B26</f>
        <v/>
      </c>
      <c r="F26" s="6" t="n">
        <v>0</v>
      </c>
      <c r="G26" s="9" t="inlineStr">
        <is>
          <t>LAX ↔ 호텔</t>
        </is>
      </c>
    </row>
    <row r="27"/>
    <row r="28">
      <c r="A28" s="10" t="inlineStr">
        <is>
          <t>➕ 추가 🚐 교통 (노란색 셀에 직접 입력)</t>
        </is>
      </c>
    </row>
    <row r="29">
      <c r="A29" s="11" t="inlineStr">
        <is>
          <t>New 1</t>
        </is>
      </c>
      <c r="B29" s="11" t="n"/>
      <c r="C29" s="11" t="n"/>
      <c r="D29" s="8">
        <f>IF(AND(B29&lt;&gt;"",B29&gt;0),IF(C29&gt;0,B29*(1+C29),B29),"")</f>
        <v/>
      </c>
      <c r="E29" s="12">
        <f>IF(D29&lt;&gt;"",D29-B29,"")</f>
        <v/>
      </c>
      <c r="F29" s="11" t="n"/>
      <c r="G29" s="11" t="n"/>
    </row>
    <row r="30">
      <c r="A30" s="11" t="inlineStr">
        <is>
          <t>New 2</t>
        </is>
      </c>
      <c r="B30" s="11" t="n"/>
      <c r="C30" s="11" t="n"/>
      <c r="D30" s="8">
        <f>IF(AND(B30&lt;&gt;"",B30&gt;0),IF(C30&gt;0,B30*(1+C30),B30),"")</f>
        <v/>
      </c>
      <c r="E30" s="12">
        <f>IF(D30&lt;&gt;"",D30-B30,"")</f>
        <v/>
      </c>
      <c r="F30" s="11" t="n"/>
      <c r="G30" s="11" t="n"/>
    </row>
    <row r="32">
      <c r="A32" s="3" t="inlineStr">
        <is>
          <t>🍽️ 식사 (1인 1끼)</t>
        </is>
      </c>
    </row>
    <row r="33">
      <c r="A33" s="4" t="inlineStr">
        <is>
          <t>식사종류</t>
        </is>
      </c>
      <c r="B33" s="4" t="inlineStr">
        <is>
          <t>원가(Cost)/인</t>
        </is>
      </c>
      <c r="C33" s="4" t="inlineStr">
        <is>
          <t>마진율(%)</t>
        </is>
      </c>
      <c r="D33" s="4" t="inlineStr">
        <is>
          <t>판매가(Sell)/인</t>
        </is>
      </c>
      <c r="E33" s="4" t="inlineStr">
        <is>
          <t>단위마진</t>
        </is>
      </c>
      <c r="F33" s="4" t="inlineStr"/>
      <c r="G33" s="4" t="inlineStr">
        <is>
          <t>비고</t>
        </is>
      </c>
    </row>
    <row r="34">
      <c r="A34" s="5" t="inlineStr">
        <is>
          <t>조식 (호텔)</t>
        </is>
      </c>
      <c r="B34" s="6" t="n">
        <v>30</v>
      </c>
      <c r="C34" s="7" t="n">
        <v>0.5</v>
      </c>
      <c r="D34" s="8">
        <f>IF(C34&gt;0,B34*(1+C34),B34)</f>
        <v/>
      </c>
      <c r="E34" s="8">
        <f>D34-B34</f>
        <v/>
      </c>
      <c r="F34" s="6" t="n">
        <v>0</v>
      </c>
      <c r="G34" s="9" t="inlineStr">
        <is>
          <t>매일 포함</t>
        </is>
      </c>
    </row>
    <row r="35">
      <c r="A35" s="5" t="inlineStr">
        <is>
          <t>중식</t>
        </is>
      </c>
      <c r="B35" s="6" t="n">
        <v>40</v>
      </c>
      <c r="C35" s="7" t="n">
        <v>0.5</v>
      </c>
      <c r="D35" s="8">
        <f>IF(C35&gt;0,B35*(1+C35),B35)</f>
        <v/>
      </c>
      <c r="E35" s="8">
        <f>D35-B35</f>
        <v/>
      </c>
      <c r="F35" s="6" t="n">
        <v>0</v>
      </c>
      <c r="G35" s="9" t="inlineStr">
        <is>
          <t>매일 포함</t>
        </is>
      </c>
    </row>
    <row r="36">
      <c r="A36" s="5" t="inlineStr">
        <is>
          <t>석식 (일반)</t>
        </is>
      </c>
      <c r="B36" s="6" t="n">
        <v>80</v>
      </c>
      <c r="C36" s="7" t="n">
        <v>0.5</v>
      </c>
      <c r="D36" s="8">
        <f>IF(C36&gt;0,B36*(1+C36),B36)</f>
        <v/>
      </c>
      <c r="E36" s="8">
        <f>D36-B36</f>
        <v/>
      </c>
      <c r="F36" s="6" t="n">
        <v>0</v>
      </c>
      <c r="G36" s="9" t="inlineStr">
        <is>
          <t>일반</t>
        </is>
      </c>
    </row>
    <row r="37">
      <c r="A37" s="5" t="inlineStr">
        <is>
          <t>Exclusive 디너</t>
        </is>
      </c>
      <c r="B37" s="6" t="n">
        <v>120</v>
      </c>
      <c r="C37" s="7" t="n">
        <v>0.5</v>
      </c>
      <c r="D37" s="8">
        <f>IF(C37&gt;0,B37*(1+C37),B37)</f>
        <v/>
      </c>
      <c r="E37" s="8">
        <f>D37-B37</f>
        <v/>
      </c>
      <c r="F37" s="6" t="n">
        <v>0</v>
      </c>
      <c r="G37" s="9" t="inlineStr">
        <is>
          <t>트립당 2회</t>
        </is>
      </c>
    </row>
    <row r="39">
      <c r="A39" s="10" t="inlineStr">
        <is>
          <t>➕ 추가 🍽️ 식사 (노란색 셀에 직접 입력)</t>
        </is>
      </c>
    </row>
    <row r="40">
      <c r="A40" s="11" t="inlineStr">
        <is>
          <t>New 1</t>
        </is>
      </c>
      <c r="B40" s="11" t="n"/>
      <c r="C40" s="11" t="n"/>
      <c r="D40" s="8">
        <f>IF(AND(B40&lt;&gt;"",B40&gt;0),IF(C40&gt;0,B40*(1+C40),B40),"")</f>
        <v/>
      </c>
      <c r="E40" s="12">
        <f>IF(D40&lt;&gt;"",D40-B40,"")</f>
        <v/>
      </c>
      <c r="F40" s="11" t="n"/>
      <c r="G40" s="11" t="n"/>
    </row>
    <row r="41">
      <c r="A41" s="11" t="inlineStr">
        <is>
          <t>New 2</t>
        </is>
      </c>
      <c r="B41" s="11" t="n"/>
      <c r="C41" s="11" t="n"/>
      <c r="D41" s="8">
        <f>IF(AND(B41&lt;&gt;"",B41&gt;0),IF(C41&gt;0,B41*(1+C41),B41),"")</f>
        <v/>
      </c>
      <c r="E41" s="12">
        <f>IF(D41&lt;&gt;"",D41-B41,"")</f>
        <v/>
      </c>
      <c r="F41" s="11" t="n"/>
      <c r="G41" s="11" t="n"/>
    </row>
    <row r="43">
      <c r="A43" s="3" t="inlineStr">
        <is>
          <t>📦 기타 (1인 1일)</t>
        </is>
      </c>
    </row>
    <row r="44">
      <c r="A44" s="4" t="inlineStr">
        <is>
          <t>항목</t>
        </is>
      </c>
      <c r="B44" s="4" t="inlineStr">
        <is>
          <t>원가/인/일</t>
        </is>
      </c>
      <c r="C44" s="4" t="inlineStr">
        <is>
          <t>마진율(%)</t>
        </is>
      </c>
      <c r="D44" s="4" t="inlineStr">
        <is>
          <t>판매가/인/일</t>
        </is>
      </c>
      <c r="E44" s="4" t="inlineStr">
        <is>
          <t>단위마진</t>
        </is>
      </c>
      <c r="F44" s="4" t="inlineStr"/>
      <c r="G44" s="4" t="inlineStr">
        <is>
          <t>비고</t>
        </is>
      </c>
    </row>
    <row r="45">
      <c r="A45" s="5" t="inlineStr">
        <is>
          <t>기타경비 (보험·팁·컨틴전시)</t>
        </is>
      </c>
      <c r="B45" s="6" t="n">
        <v>50</v>
      </c>
      <c r="C45" s="7" t="n">
        <v>0.5</v>
      </c>
      <c r="D45" s="8">
        <f>IF(C45&gt;0,B45*(1+C45),B45)</f>
        <v/>
      </c>
      <c r="E45" s="8">
        <f>D45-B45</f>
        <v/>
      </c>
      <c r="F45" s="6" t="n">
        <v>0</v>
      </c>
      <c r="G45" s="9" t="inlineStr">
        <is>
          <t>일당</t>
        </is>
      </c>
    </row>
    <row r="47">
      <c r="A47" s="10" t="inlineStr">
        <is>
          <t>➕ 추가 📦 기타 (노란색 셀에 직접 입력)</t>
        </is>
      </c>
    </row>
    <row r="48">
      <c r="A48" s="11" t="inlineStr">
        <is>
          <t>New 1</t>
        </is>
      </c>
      <c r="B48" s="11" t="n"/>
      <c r="C48" s="11" t="n"/>
      <c r="D48" s="8">
        <f>IF(AND(B48&lt;&gt;"",B48&gt;0),IF(C48&gt;0,B48*(1+C48),B48),"")</f>
        <v/>
      </c>
      <c r="E48" s="12">
        <f>IF(D48&lt;&gt;"",D48-B48,"")</f>
        <v/>
      </c>
      <c r="F48" s="11" t="n"/>
      <c r="G48" s="11" t="n"/>
    </row>
    <row r="49">
      <c r="A49" s="11" t="inlineStr">
        <is>
          <t>New 2</t>
        </is>
      </c>
      <c r="B49" s="11" t="n"/>
      <c r="C49" s="11" t="n"/>
      <c r="D49" s="8">
        <f>IF(AND(B49&lt;&gt;"",B49&gt;0),IF(C49&gt;0,B49*(1+C49),B49),"")</f>
        <v/>
      </c>
      <c r="E49" s="12">
        <f>IF(D49&lt;&gt;"",D49-B49,"")</f>
        <v/>
      </c>
      <c r="F49" s="11" t="n"/>
      <c r="G49" s="11" t="n"/>
    </row>
  </sheetData>
  <mergeCells count="12">
    <mergeCell ref="A32:G32"/>
    <mergeCell ref="A1:G1"/>
    <mergeCell ref="A39:G39"/>
    <mergeCell ref="A47:G47"/>
    <mergeCell ref="A4:G4"/>
    <mergeCell ref="A2:G2"/>
    <mergeCell ref="A15:G15"/>
    <mergeCell ref="A43:G43"/>
    <mergeCell ref="A19:G19"/>
    <mergeCell ref="A10:G10"/>
    <mergeCell ref="A28:G28"/>
    <mergeCell ref="A23:G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4AF37"/>
    <outlinePr summaryBelow="1" summaryRight="1"/>
    <pageSetUpPr/>
  </sheetPr>
  <dimension ref="A1:J4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8" customWidth="1" min="9" max="9"/>
    <col width="24" customWidth="1" min="10" max="10"/>
  </cols>
  <sheetData>
    <row r="1">
      <c r="A1" s="1" t="inlineStr">
        <is>
          <t>📋 PACKAGE BUILDER — 드롭다운 + 수동입력 → 자동견적</t>
        </is>
      </c>
    </row>
    <row r="2">
      <c r="A2" s="2" t="inlineStr">
        <is>
          <t>🟡 Yellow = 수동입력 | 🟢 Green = 자동계산 | Master Data 변경 시 전체 연동</t>
        </is>
      </c>
    </row>
    <row r="4">
      <c r="A4" s="3" t="inlineStr">
        <is>
          <t>패키지 기본정보</t>
        </is>
      </c>
    </row>
    <row r="5">
      <c r="A5" s="5" t="inlineStr">
        <is>
          <t>패키지명</t>
        </is>
      </c>
      <c r="B5" s="6" t="inlineStr">
        <is>
          <t>New Package</t>
        </is>
      </c>
      <c r="D5" s="5" t="inlineStr">
        <is>
          <t>일정</t>
        </is>
      </c>
      <c r="E5" s="6" t="inlineStr">
        <is>
          <t>3박 4일</t>
        </is>
      </c>
      <c r="G5" s="5" t="inlineStr">
        <is>
          <t>인원</t>
        </is>
      </c>
      <c r="H5" s="13" t="n">
        <v>2</v>
      </c>
    </row>
    <row r="7">
      <c r="A7" s="3" t="inlineStr">
        <is>
          <t>⛳ 골프 라운드 — 드롭다운으로 코스 선택, 라운드 수 입력</t>
        </is>
      </c>
    </row>
    <row r="8">
      <c r="A8" s="4" t="inlineStr">
        <is>
          <t>#</t>
        </is>
      </c>
      <c r="B8" s="4" t="inlineStr">
        <is>
          <t>코스명 (드롭다운)</t>
        </is>
      </c>
      <c r="C8" s="4" t="inlineStr">
        <is>
          <t>라운드 수</t>
        </is>
      </c>
      <c r="D8" s="4" t="inlineStr">
        <is>
          <t>Cost/라운드</t>
        </is>
      </c>
      <c r="E8" s="4" t="inlineStr">
        <is>
          <t>마진율(%)</t>
        </is>
      </c>
      <c r="F8" s="4" t="inlineStr">
        <is>
          <t>Sell/라운드</t>
        </is>
      </c>
      <c r="G8" s="4" t="inlineStr">
        <is>
          <t>총 Cost</t>
        </is>
      </c>
      <c r="H8" s="4" t="inlineStr">
        <is>
          <t>총 Sell</t>
        </is>
      </c>
      <c r="I8" s="4" t="inlineStr">
        <is>
          <t>총 마진</t>
        </is>
      </c>
      <c r="J8" s="4" t="inlineStr">
        <is>
          <t>비고</t>
        </is>
      </c>
    </row>
    <row r="9">
      <c r="A9" s="14" t="n">
        <v>1</v>
      </c>
      <c r="B9" s="5" t="inlineStr">
        <is>
          <t>Trump National LA</t>
        </is>
      </c>
      <c r="C9" s="13" t="n">
        <v>2</v>
      </c>
      <c r="D9" s="8">
        <f>IF(B9="","",VLOOKUP(B9,'Master Data'!$A$6:$B$18,2,FALSE))</f>
        <v/>
      </c>
      <c r="E9" s="7">
        <f>IF(B9="","",VLOOKUP(B9,'Master Data'!$A$6:$C$18,3,FALSE))</f>
        <v/>
      </c>
      <c r="F9" s="8">
        <f>IF(B9="","",D9*(1+E9))</f>
        <v/>
      </c>
      <c r="G9" s="8">
        <f>IF(AND(B9&lt;&gt;"",C9&gt;0),C9*D9,"")</f>
        <v/>
      </c>
      <c r="H9" s="8">
        <f>IF(AND(B9&lt;&gt;"",C9&gt;0),C9*F9,"")</f>
        <v/>
      </c>
      <c r="I9" s="8">
        <f>IF(H9&lt;&gt;"",H9-G9,"")</f>
        <v/>
      </c>
      <c r="J9" s="9" t="inlineStr">
        <is>
          <t>Trump National LA</t>
        </is>
      </c>
    </row>
    <row r="10">
      <c r="A10" s="14" t="n">
        <v>2</v>
      </c>
      <c r="B10" s="5" t="inlineStr">
        <is>
          <t>Sandpiper GC</t>
        </is>
      </c>
      <c r="C10" s="13" t="n">
        <v>2</v>
      </c>
      <c r="D10" s="8">
        <f>IF(B10="","",VLOOKUP(B10,'Master Data'!$A$6:$B$18,2,FALSE))</f>
        <v/>
      </c>
      <c r="E10" s="7">
        <f>IF(B10="","",VLOOKUP(B10,'Master Data'!$A$6:$C$18,3,FALSE))</f>
        <v/>
      </c>
      <c r="F10" s="8">
        <f>IF(B10="","",D10*(1+E10))</f>
        <v/>
      </c>
      <c r="G10" s="8">
        <f>IF(AND(B10&lt;&gt;"",C10&gt;0),C10*D10,"")</f>
        <v/>
      </c>
      <c r="H10" s="8">
        <f>IF(AND(B10&lt;&gt;"",C10&gt;0),C10*F10,"")</f>
        <v/>
      </c>
      <c r="I10" s="8">
        <f>IF(H10&lt;&gt;"",H10-G10,"")</f>
        <v/>
      </c>
      <c r="J10" s="9" t="inlineStr">
        <is>
          <t>Sandpiper GC</t>
        </is>
      </c>
    </row>
    <row r="11">
      <c r="A11" s="14" t="n">
        <v>3</v>
      </c>
      <c r="B11" s="5" t="inlineStr">
        <is>
          <t>Hidden Valley GC</t>
        </is>
      </c>
      <c r="C11" s="13" t="n">
        <v>1</v>
      </c>
      <c r="D11" s="8">
        <f>IF(B11="","",VLOOKUP(B11,'Master Data'!$A$6:$B$18,2,FALSE))</f>
        <v/>
      </c>
      <c r="E11" s="7">
        <f>IF(B11="","",VLOOKUP(B11,'Master Data'!$A$6:$C$18,3,FALSE))</f>
        <v/>
      </c>
      <c r="F11" s="8">
        <f>IF(B11="","",D11*(1+E11))</f>
        <v/>
      </c>
      <c r="G11" s="8">
        <f>IF(AND(B11&lt;&gt;"",C11&gt;0),C11*D11,"")</f>
        <v/>
      </c>
      <c r="H11" s="8">
        <f>IF(AND(B11&lt;&gt;"",C11&gt;0),C11*F11,"")</f>
        <v/>
      </c>
      <c r="I11" s="8">
        <f>IF(H11&lt;&gt;"",H11-G11,"")</f>
        <v/>
      </c>
      <c r="J11" s="9" t="inlineStr">
        <is>
          <t>Hidden Valley GC</t>
        </is>
      </c>
    </row>
    <row r="12">
      <c r="A12" s="14" t="inlineStr"/>
      <c r="B12" s="15" t="inlineStr"/>
      <c r="C12" s="6" t="n"/>
      <c r="D12" s="8">
        <f>IF(B12="","",VLOOKUP(B12,'Master Data'!$A$6:$B$18,2,FALSE))</f>
        <v/>
      </c>
      <c r="E12" s="7">
        <f>IF(B12="","",VLOOKUP(B12,'Master Data'!$A$6:$C$18,3,FALSE))</f>
        <v/>
      </c>
      <c r="F12" s="8">
        <f>IF(B12="","",D12*(1+E12))</f>
        <v/>
      </c>
      <c r="G12" s="8">
        <f>IF(AND(B12&lt;&gt;"",C12&gt;0),C12*D12,"")</f>
        <v/>
      </c>
      <c r="H12" s="8">
        <f>IF(AND(B12&lt;&gt;"",C12&gt;0),C12*F12,"")</f>
        <v/>
      </c>
      <c r="I12" s="8">
        <f>IF(H12&lt;&gt;"",H12-G12,"")</f>
        <v/>
      </c>
      <c r="J12" s="9" t="inlineStr"/>
    </row>
    <row r="13">
      <c r="A13" s="14" t="inlineStr"/>
      <c r="B13" s="15" t="inlineStr"/>
      <c r="C13" s="6" t="n"/>
      <c r="D13" s="8">
        <f>IF(B13="","",VLOOKUP(B13,'Master Data'!$A$6:$B$18,2,FALSE))</f>
        <v/>
      </c>
      <c r="E13" s="7">
        <f>IF(B13="","",VLOOKUP(B13,'Master Data'!$A$6:$C$18,3,FALSE))</f>
        <v/>
      </c>
      <c r="F13" s="8">
        <f>IF(B13="","",D13*(1+E13))</f>
        <v/>
      </c>
      <c r="G13" s="8">
        <f>IF(AND(B13&lt;&gt;"",C13&gt;0),C13*D13,"")</f>
        <v/>
      </c>
      <c r="H13" s="8">
        <f>IF(AND(B13&lt;&gt;"",C13&gt;0),C13*F13,"")</f>
        <v/>
      </c>
      <c r="I13" s="8">
        <f>IF(H13&lt;&gt;"",H13-G13,"")</f>
        <v/>
      </c>
      <c r="J13" s="9" t="inlineStr"/>
    </row>
    <row r="14">
      <c r="A14" s="14" t="inlineStr"/>
      <c r="B14" s="15" t="inlineStr"/>
      <c r="C14" s="6" t="n"/>
      <c r="D14" s="8">
        <f>IF(B14="","",VLOOKUP(B14,'Master Data'!$A$6:$B$18,2,FALSE))</f>
        <v/>
      </c>
      <c r="E14" s="7">
        <f>IF(B14="","",VLOOKUP(B14,'Master Data'!$A$6:$C$18,3,FALSE))</f>
        <v/>
      </c>
      <c r="F14" s="8">
        <f>IF(B14="","",D14*(1+E14))</f>
        <v/>
      </c>
      <c r="G14" s="8">
        <f>IF(AND(B14&lt;&gt;"",C14&gt;0),C14*D14,"")</f>
        <v/>
      </c>
      <c r="H14" s="8">
        <f>IF(AND(B14&lt;&gt;"",C14&gt;0),C14*F14,"")</f>
        <v/>
      </c>
      <c r="I14" s="8">
        <f>IF(H14&lt;&gt;"",H14-G14,"")</f>
        <v/>
      </c>
      <c r="J14" s="9" t="inlineStr"/>
    </row>
    <row r="15">
      <c r="A15" s="16" t="n"/>
      <c r="B15" s="17" t="inlineStr">
        <is>
          <t>골프 소계</t>
        </is>
      </c>
      <c r="C15" s="18" t="n"/>
      <c r="D15" s="18" t="n"/>
      <c r="E15" s="18" t="n"/>
      <c r="F15" s="18" t="n"/>
      <c r="G15" s="8">
        <f>SUM(G9:G14)</f>
        <v/>
      </c>
      <c r="H15" s="8">
        <f>SUM(H9:H14)</f>
        <v/>
      </c>
      <c r="I15" s="8">
        <f>SUM(I9:I14)</f>
        <v/>
      </c>
      <c r="J15" s="18" t="n"/>
    </row>
    <row r="17">
      <c r="A17" s="3" t="inlineStr">
        <is>
          <t>🏨 호텔 — 숙박일수 입력</t>
        </is>
      </c>
    </row>
    <row r="18">
      <c r="A18" s="4" t="inlineStr">
        <is>
          <t>#</t>
        </is>
      </c>
      <c r="B18" s="4" t="inlineStr">
        <is>
          <t>호텔명 (드롭다운)</t>
        </is>
      </c>
      <c r="C18" s="4" t="inlineStr">
        <is>
          <t>숙박 수</t>
        </is>
      </c>
      <c r="D18" s="4" t="inlineStr">
        <is>
          <t>Cost/박</t>
        </is>
      </c>
      <c r="E18" s="4" t="inlineStr">
        <is>
          <t>마진율(%)</t>
        </is>
      </c>
      <c r="F18" s="4" t="inlineStr">
        <is>
          <t>Sell/박</t>
        </is>
      </c>
      <c r="G18" s="4" t="inlineStr">
        <is>
          <t>총 Cost</t>
        </is>
      </c>
      <c r="H18" s="4" t="inlineStr">
        <is>
          <t>총 Sell</t>
        </is>
      </c>
      <c r="I18" s="4" t="inlineStr">
        <is>
          <t>총 마진</t>
        </is>
      </c>
      <c r="J18" s="4" t="inlineStr">
        <is>
          <t>비고</t>
        </is>
      </c>
    </row>
    <row r="19">
      <c r="A19" s="14" t="n">
        <v>1</v>
      </c>
      <c r="B19" s="5" t="inlineStr">
        <is>
          <t>Beverly Wilshire (5★)</t>
        </is>
      </c>
      <c r="C19" s="13" t="n">
        <v>3</v>
      </c>
      <c r="D19" s="8">
        <f>IF(B19="","",VLOOKUP(B19,'Master Data'!$A$17:$B$27,2,FALSE))</f>
        <v/>
      </c>
      <c r="E19" s="7">
        <f>IF(B19="","",VLOOKUP(B19,'Master Data'!$A$17:$C$27,3,FALSE))</f>
        <v/>
      </c>
      <c r="F19" s="8">
        <f>IF(B19="","",D19*(1+E19))</f>
        <v/>
      </c>
      <c r="G19" s="8">
        <f>IF(AND(B19&lt;&gt;"",C19&gt;0),C19*D19,"")</f>
        <v/>
      </c>
      <c r="H19" s="8">
        <f>IF(AND(B19&lt;&gt;"",C19&gt;0),C19*F19,"")</f>
        <v/>
      </c>
      <c r="I19" s="8">
        <f>IF(H19&lt;&gt;"",H19-G19,"")</f>
        <v/>
      </c>
      <c r="J19" s="9" t="inlineStr">
        <is>
          <t>Beverly Wilshire (5★)</t>
        </is>
      </c>
    </row>
    <row r="20">
      <c r="A20" s="14" t="inlineStr"/>
      <c r="B20" s="15" t="inlineStr"/>
      <c r="C20" s="6" t="n"/>
      <c r="D20" s="8">
        <f>IF(B20="","",VLOOKUP(B20,'Master Data'!$A$17:$B$27,2,FALSE))</f>
        <v/>
      </c>
      <c r="E20" s="7">
        <f>IF(B20="","",VLOOKUP(B20,'Master Data'!$A$17:$C$27,3,FALSE))</f>
        <v/>
      </c>
      <c r="F20" s="8">
        <f>IF(B20="","",D20*(1+E20))</f>
        <v/>
      </c>
      <c r="G20" s="8">
        <f>IF(AND(B20&lt;&gt;"",C20&gt;0),C20*D20,"")</f>
        <v/>
      </c>
      <c r="H20" s="8">
        <f>IF(AND(B20&lt;&gt;"",C20&gt;0),C20*F20,"")</f>
        <v/>
      </c>
      <c r="I20" s="8">
        <f>IF(H20&lt;&gt;"",H20-G20,"")</f>
        <v/>
      </c>
      <c r="J20" s="9" t="inlineStr"/>
    </row>
    <row r="21">
      <c r="A21" s="14" t="inlineStr"/>
      <c r="B21" s="15" t="inlineStr"/>
      <c r="C21" s="6" t="n"/>
      <c r="D21" s="8">
        <f>IF(B21="","",VLOOKUP(B21,'Master Data'!$A$17:$B$27,2,FALSE))</f>
        <v/>
      </c>
      <c r="E21" s="7">
        <f>IF(B21="","",VLOOKUP(B21,'Master Data'!$A$17:$C$27,3,FALSE))</f>
        <v/>
      </c>
      <c r="F21" s="8">
        <f>IF(B21="","",D21*(1+E21))</f>
        <v/>
      </c>
      <c r="G21" s="8">
        <f>IF(AND(B21&lt;&gt;"",C21&gt;0),C21*D21,"")</f>
        <v/>
      </c>
      <c r="H21" s="8">
        <f>IF(AND(B21&lt;&gt;"",C21&gt;0),C21*F21,"")</f>
        <v/>
      </c>
      <c r="I21" s="8">
        <f>IF(H21&lt;&gt;"",H21-G21,"")</f>
        <v/>
      </c>
      <c r="J21" s="9" t="inlineStr"/>
    </row>
    <row r="22">
      <c r="A22" s="16" t="n"/>
      <c r="B22" s="17" t="inlineStr">
        <is>
          <t>호텔 소계</t>
        </is>
      </c>
      <c r="C22" s="18" t="n"/>
      <c r="D22" s="18" t="n"/>
      <c r="E22" s="18" t="n"/>
      <c r="F22" s="18" t="n"/>
      <c r="G22" s="8">
        <f>SUM(G19:G21)</f>
        <v/>
      </c>
      <c r="H22" s="8">
        <f>SUM(H19:H21)</f>
        <v/>
      </c>
      <c r="I22" s="8">
        <f>SUM(I19:I21)</f>
        <v/>
      </c>
      <c r="J22" s="18" t="n"/>
    </row>
    <row r="24">
      <c r="A24" s="3" t="inlineStr">
        <is>
          <t>🚐 교통 — 이용일수 입력</t>
        </is>
      </c>
    </row>
    <row r="25">
      <c r="A25" s="4" t="inlineStr">
        <is>
          <t>#</t>
        </is>
      </c>
      <c r="B25" s="4" t="inlineStr">
        <is>
          <t>항목</t>
        </is>
      </c>
      <c r="C25" s="4" t="inlineStr">
        <is>
          <t>일수/횟수</t>
        </is>
      </c>
      <c r="D25" s="4" t="inlineStr">
        <is>
          <t>Cost/단위</t>
        </is>
      </c>
      <c r="E25" s="4" t="inlineStr">
        <is>
          <t>마진율(%)</t>
        </is>
      </c>
      <c r="F25" s="4" t="inlineStr">
        <is>
          <t>Sell/단위</t>
        </is>
      </c>
      <c r="G25" s="4" t="inlineStr">
        <is>
          <t>총 Cost</t>
        </is>
      </c>
      <c r="H25" s="4" t="inlineStr">
        <is>
          <t>총 Sell</t>
        </is>
      </c>
      <c r="I25" s="4" t="inlineStr">
        <is>
          <t>총 마진</t>
        </is>
      </c>
      <c r="J25" s="4" t="inlineStr">
        <is>
          <t>비고</t>
        </is>
      </c>
    </row>
    <row r="26">
      <c r="A26" s="14" t="n">
        <v>1</v>
      </c>
      <c r="B26" s="5" t="inlineStr">
        <is>
          <t>Driver+Guide+밴 (일당)</t>
        </is>
      </c>
      <c r="C26" s="13" t="n">
        <v>4</v>
      </c>
      <c r="D26" s="8">
        <f>IF(B26="","",VLOOKUP(B26,'Master Data'!$A$25:$B$36,2,FALSE))</f>
        <v/>
      </c>
      <c r="E26" s="7">
        <f>IF(B26="","",VLOOKUP(B26,'Master Data'!$A$25:$C$36,3,FALSE))</f>
        <v/>
      </c>
      <c r="F26" s="8">
        <f>IF(B26="","",D26*(1+E26))</f>
        <v/>
      </c>
      <c r="G26" s="8">
        <f>IF(AND(B26&lt;&gt;"",C26&gt;0),C26*D26,"")</f>
        <v/>
      </c>
      <c r="H26" s="8">
        <f>IF(AND(B26&lt;&gt;"",C26&gt;0),C26*F26,"")</f>
        <v/>
      </c>
      <c r="I26" s="8">
        <f>IF(H26&lt;&gt;"",H26-G26,"")</f>
        <v/>
      </c>
      <c r="J26" s="18" t="n"/>
    </row>
    <row r="27">
      <c r="A27" s="14" t="n">
        <v>2</v>
      </c>
      <c r="B27" s="5" t="inlineStr">
        <is>
          <t>공항 왕복 픽업</t>
        </is>
      </c>
      <c r="C27" s="13" t="n">
        <v>2</v>
      </c>
      <c r="D27" s="8">
        <f>IF(B27="","",VLOOKUP(B27,'Master Data'!$A$25:$B$36,2,FALSE))</f>
        <v/>
      </c>
      <c r="E27" s="7">
        <f>IF(B27="","",VLOOKUP(B27,'Master Data'!$A$25:$C$36,3,FALSE))</f>
        <v/>
      </c>
      <c r="F27" s="8">
        <f>IF(B27="","",D27*(1+E27))</f>
        <v/>
      </c>
      <c r="G27" s="8">
        <f>IF(AND(B27&lt;&gt;"",C27&gt;0),C27*D27,"")</f>
        <v/>
      </c>
      <c r="H27" s="8">
        <f>IF(AND(B27&lt;&gt;"",C27&gt;0),C27*F27,"")</f>
        <v/>
      </c>
      <c r="I27" s="8">
        <f>IF(H27&lt;&gt;"",H27-G27,"")</f>
        <v/>
      </c>
      <c r="J27" s="18" t="n"/>
    </row>
    <row r="28">
      <c r="A28" s="14" t="inlineStr"/>
      <c r="B28" s="15" t="inlineStr"/>
      <c r="C28" s="6" t="n"/>
      <c r="D28" s="8">
        <f>IF(B28="","",VLOOKUP(B28,'Master Data'!$A$25:$B$36,2,FALSE))</f>
        <v/>
      </c>
      <c r="E28" s="7">
        <f>IF(B28="","",VLOOKUP(B28,'Master Data'!$A$25:$C$36,3,FALSE))</f>
        <v/>
      </c>
      <c r="F28" s="8">
        <f>IF(B28="","",D28*(1+E28))</f>
        <v/>
      </c>
      <c r="G28" s="8">
        <f>IF(AND(B28&lt;&gt;"",C28&gt;0),C28*D28,"")</f>
        <v/>
      </c>
      <c r="H28" s="8">
        <f>IF(AND(B28&lt;&gt;"",C28&gt;0),C28*F28,"")</f>
        <v/>
      </c>
      <c r="I28" s="8">
        <f>IF(H28&lt;&gt;"",H28-G28,"")</f>
        <v/>
      </c>
      <c r="J28" s="18" t="n"/>
    </row>
    <row r="29">
      <c r="A29" s="14" t="inlineStr"/>
      <c r="B29" s="15" t="inlineStr"/>
      <c r="C29" s="6" t="n"/>
      <c r="D29" s="8">
        <f>IF(B29="","",VLOOKUP(B29,'Master Data'!$A$25:$B$36,2,FALSE))</f>
        <v/>
      </c>
      <c r="E29" s="7">
        <f>IF(B29="","",VLOOKUP(B29,'Master Data'!$A$25:$C$36,3,FALSE))</f>
        <v/>
      </c>
      <c r="F29" s="8">
        <f>IF(B29="","",D29*(1+E29))</f>
        <v/>
      </c>
      <c r="G29" s="8">
        <f>IF(AND(B29&lt;&gt;"",C29&gt;0),C29*D29,"")</f>
        <v/>
      </c>
      <c r="H29" s="8">
        <f>IF(AND(B29&lt;&gt;"",C29&gt;0),C29*F29,"")</f>
        <v/>
      </c>
      <c r="I29" s="8">
        <f>IF(H29&lt;&gt;"",H29-G29,"")</f>
        <v/>
      </c>
      <c r="J29" s="18" t="n"/>
    </row>
    <row r="30">
      <c r="A30" s="16" t="n"/>
      <c r="B30" s="17" t="inlineStr">
        <is>
          <t>교통 소계</t>
        </is>
      </c>
      <c r="C30" s="18" t="n"/>
      <c r="D30" s="18" t="n"/>
      <c r="E30" s="18" t="n"/>
      <c r="F30" s="18" t="n"/>
      <c r="G30" s="8">
        <f>SUM(G26:G29)</f>
        <v/>
      </c>
      <c r="H30" s="8">
        <f>SUM(H26:H29)</f>
        <v/>
      </c>
      <c r="I30" s="8">
        <f>SUM(I26:I29)</f>
        <v/>
      </c>
      <c r="J30" s="18" t="n"/>
    </row>
    <row r="32">
      <c r="A32" s="3" t="inlineStr">
        <is>
          <t>🍽️ 식사 &amp; 📦 기타 — 직접 입력</t>
        </is>
      </c>
    </row>
    <row r="33">
      <c r="A33" s="4" t="inlineStr">
        <is>
          <t>#</t>
        </is>
      </c>
      <c r="B33" s="4" t="inlineStr">
        <is>
          <t>항목</t>
        </is>
      </c>
      <c r="C33" s="4" t="inlineStr">
        <is>
          <t>수량</t>
        </is>
      </c>
      <c r="D33" s="4" t="inlineStr">
        <is>
          <t>Cost/단위</t>
        </is>
      </c>
      <c r="E33" s="4" t="inlineStr">
        <is>
          <t>마진율(%)</t>
        </is>
      </c>
      <c r="F33" s="4" t="inlineStr">
        <is>
          <t>Sell/단위</t>
        </is>
      </c>
      <c r="G33" s="4" t="inlineStr">
        <is>
          <t>총 Cost</t>
        </is>
      </c>
      <c r="H33" s="4" t="inlineStr">
        <is>
          <t>총 Sell</t>
        </is>
      </c>
      <c r="I33" s="4" t="inlineStr">
        <is>
          <t>총 마진</t>
        </is>
      </c>
      <c r="J33" s="4" t="inlineStr">
        <is>
          <t>비고</t>
        </is>
      </c>
    </row>
    <row r="34">
      <c r="A34" s="14" t="n">
        <v>1</v>
      </c>
      <c r="B34" s="5" t="inlineStr">
        <is>
          <t>식사 패키지 (3끼×일수)</t>
        </is>
      </c>
      <c r="C34" s="13" t="n">
        <v>3</v>
      </c>
      <c r="D34" s="19" t="n">
        <v>150</v>
      </c>
      <c r="E34" s="7" t="n">
        <v>0.5</v>
      </c>
      <c r="F34" s="8">
        <f>IF(AND(B34&lt;&gt;"",D34&lt;&gt;""),D34*(1+E34),"")</f>
        <v/>
      </c>
      <c r="G34" s="8">
        <f>IF(AND(B34&lt;&gt;"",C34&gt;0,D34&lt;&gt;""),C34*D34,"")</f>
        <v/>
      </c>
      <c r="H34" s="8">
        <f>IF(AND(B34&lt;&gt;"",C34&gt;0,F34&lt;&gt;""),C34*F34,"")</f>
        <v/>
      </c>
      <c r="I34" s="8">
        <f>IF(H34&lt;&gt;"",H34-G34,"")</f>
        <v/>
      </c>
      <c r="J34" s="18" t="n"/>
    </row>
    <row r="35">
      <c r="A35" s="14" t="n">
        <v>2</v>
      </c>
      <c r="B35" s="5" t="inlineStr">
        <is>
          <t>기타경비 (일당)</t>
        </is>
      </c>
      <c r="C35" s="13" t="n">
        <v>4</v>
      </c>
      <c r="D35" s="19" t="n">
        <v>50</v>
      </c>
      <c r="E35" s="7" t="n">
        <v>0.5</v>
      </c>
      <c r="F35" s="8">
        <f>IF(AND(B35&lt;&gt;"",D35&lt;&gt;""),D35*(1+E35),"")</f>
        <v/>
      </c>
      <c r="G35" s="8">
        <f>IF(AND(B35&lt;&gt;"",C35&gt;0,D35&lt;&gt;""),C35*D35,"")</f>
        <v/>
      </c>
      <c r="H35" s="8">
        <f>IF(AND(B35&lt;&gt;"",C35&gt;0,F35&lt;&gt;""),C35*F35,"")</f>
        <v/>
      </c>
      <c r="I35" s="8">
        <f>IF(H35&lt;&gt;"",H35-G35,"")</f>
        <v/>
      </c>
      <c r="J35" s="18" t="n"/>
    </row>
    <row r="36">
      <c r="A36" s="14" t="inlineStr"/>
      <c r="B36" s="15" t="inlineStr"/>
      <c r="C36" s="6" t="n"/>
      <c r="D36" s="6" t="n"/>
      <c r="E36" s="7" t="n">
        <v>0.5</v>
      </c>
      <c r="F36" s="8">
        <f>IF(AND(B36&lt;&gt;"",D36&lt;&gt;""),D36*(1+E36),"")</f>
        <v/>
      </c>
      <c r="G36" s="8">
        <f>IF(AND(B36&lt;&gt;"",C36&gt;0,D36&lt;&gt;""),C36*D36,"")</f>
        <v/>
      </c>
      <c r="H36" s="8">
        <f>IF(AND(B36&lt;&gt;"",C36&gt;0,F36&lt;&gt;""),C36*F36,"")</f>
        <v/>
      </c>
      <c r="I36" s="8">
        <f>IF(H36&lt;&gt;"",H36-G36,"")</f>
        <v/>
      </c>
      <c r="J36" s="18" t="n"/>
    </row>
    <row r="37">
      <c r="A37" s="14" t="inlineStr"/>
      <c r="B37" s="15" t="inlineStr"/>
      <c r="C37" s="6" t="n"/>
      <c r="D37" s="6" t="n"/>
      <c r="E37" s="7" t="n">
        <v>0.5</v>
      </c>
      <c r="F37" s="8">
        <f>IF(AND(B37&lt;&gt;"",D37&lt;&gt;""),D37*(1+E37),"")</f>
        <v/>
      </c>
      <c r="G37" s="8">
        <f>IF(AND(B37&lt;&gt;"",C37&gt;0,D37&lt;&gt;""),C37*D37,"")</f>
        <v/>
      </c>
      <c r="H37" s="8">
        <f>IF(AND(B37&lt;&gt;"",C37&gt;0,F37&lt;&gt;""),C37*F37,"")</f>
        <v/>
      </c>
      <c r="I37" s="8">
        <f>IF(H37&lt;&gt;"",H37-G37,"")</f>
        <v/>
      </c>
      <c r="J37" s="18" t="n"/>
    </row>
    <row r="38">
      <c r="A38" s="14" t="inlineStr"/>
      <c r="B38" s="15" t="inlineStr"/>
      <c r="C38" s="6" t="n"/>
      <c r="D38" s="6" t="n"/>
      <c r="E38" s="7" t="n">
        <v>0.5</v>
      </c>
      <c r="F38" s="8">
        <f>IF(AND(B38&lt;&gt;"",D38&lt;&gt;""),D38*(1+E38),"")</f>
        <v/>
      </c>
      <c r="G38" s="8">
        <f>IF(AND(B38&lt;&gt;"",C38&gt;0,D38&lt;&gt;""),C38*D38,"")</f>
        <v/>
      </c>
      <c r="H38" s="8">
        <f>IF(AND(B38&lt;&gt;"",C38&gt;0,F38&lt;&gt;""),C38*F38,"")</f>
        <v/>
      </c>
      <c r="I38" s="8">
        <f>IF(H38&lt;&gt;"",H38-G38,"")</f>
        <v/>
      </c>
      <c r="J38" s="18" t="n"/>
    </row>
    <row r="39">
      <c r="A39" s="16" t="n"/>
      <c r="B39" s="17" t="inlineStr">
        <is>
          <t>식사·기타 소계</t>
        </is>
      </c>
      <c r="C39" s="18" t="n"/>
      <c r="D39" s="18" t="n"/>
      <c r="E39" s="18" t="n"/>
      <c r="F39" s="18" t="n"/>
      <c r="G39" s="8">
        <f>SUM(G34:G38)</f>
        <v/>
      </c>
      <c r="H39" s="8">
        <f>SUM(H34:H38)</f>
        <v/>
      </c>
      <c r="I39" s="8">
        <f>SUM(I34:I38)</f>
        <v/>
      </c>
      <c r="J39" s="18" t="n"/>
    </row>
    <row r="41">
      <c r="A41" s="3" t="inlineStr">
        <is>
          <t>🏆 PACKAGE GRAND TOTAL (1인 기준)</t>
        </is>
      </c>
    </row>
    <row r="42">
      <c r="E42" s="5" t="inlineStr">
        <is>
          <t>총 원가 (Cost)</t>
        </is>
      </c>
      <c r="F42" s="5" t="inlineStr">
        <is>
          <t>총 판매가 (Sell)</t>
        </is>
      </c>
      <c r="G42" s="8" t="inlineStr">
        <is>
          <t>총 마진</t>
        </is>
      </c>
      <c r="H42" s="20">
        <f>H15+H22+H30+H39</f>
        <v/>
      </c>
      <c r="I42" s="20">
        <f>I15+I22+I30+I39</f>
        <v/>
      </c>
    </row>
    <row r="43">
      <c r="A43" s="5" t="inlineStr">
        <is>
          <t>인원 수</t>
        </is>
      </c>
      <c r="B43" s="13" t="n">
        <v>2</v>
      </c>
      <c r="D43" s="5" t="inlineStr">
        <is>
          <t>1인당 판매가</t>
        </is>
      </c>
      <c r="E43" s="21">
        <f>H42/B43</f>
        <v/>
      </c>
    </row>
  </sheetData>
  <mergeCells count="8">
    <mergeCell ref="A1:J1"/>
    <mergeCell ref="A32:J32"/>
    <mergeCell ref="A17:J17"/>
    <mergeCell ref="A4:J4"/>
    <mergeCell ref="A7:J7"/>
    <mergeCell ref="A24:J24"/>
    <mergeCell ref="A2:J2"/>
    <mergeCell ref="A41:J41"/>
  </mergeCells>
  <dataValidations count="2">
    <dataValidation sqref="B9 B10 B11 B12 B13 B14" showDropDown="0" showInputMessage="0" showErrorMessage="0" allowBlank="1" error="유효한 코스명을 선택하세요" type="list">
      <formula1>='Master Data'!$A$6:$A$8</formula1>
    </dataValidation>
    <dataValidation sqref="B19 B20 B21" showDropDown="0" showInputMessage="0" showErrorMessage="0" allowBlank="1" type="list">
      <formula1>='Master Data'!$A$17:$A$17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16" customWidth="1" min="5" max="5"/>
    <col width="18" customWidth="1" min="6" max="6"/>
    <col width="42" customWidth="1" min="7" max="7"/>
  </cols>
  <sheetData>
    <row r="1">
      <c r="A1" s="1" t="inlineStr">
        <is>
          <t>📈 PROFIT SUMMARY — Package Builder 자동연동</t>
        </is>
      </c>
    </row>
    <row r="2">
      <c r="A2" s="2" t="inlineStr">
        <is>
          <t>Package Builder 시트 총계 자동 반영</t>
        </is>
      </c>
    </row>
    <row r="4">
      <c r="A4" s="4" t="inlineStr">
        <is>
          <t>항목</t>
        </is>
      </c>
      <c r="B4" s="4" t="inlineStr">
        <is>
          <t>총 Cost</t>
        </is>
      </c>
      <c r="C4" s="4" t="inlineStr">
        <is>
          <t>총 Sell</t>
        </is>
      </c>
      <c r="D4" s="4" t="inlineStr">
        <is>
          <t>총 Margin</t>
        </is>
      </c>
      <c r="E4" s="4" t="inlineStr">
        <is>
          <t>Margin%</t>
        </is>
      </c>
      <c r="F4" s="4" t="inlineStr">
        <is>
          <t>인당 Sell</t>
        </is>
      </c>
      <c r="G4" s="4" t="inlineStr">
        <is>
          <t>비고</t>
        </is>
      </c>
    </row>
    <row r="5">
      <c r="A5" s="5" t="inlineStr">
        <is>
          <t>골프</t>
        </is>
      </c>
      <c r="B5" s="8">
        <f>'Package Builder'!G15</f>
        <v/>
      </c>
      <c r="C5" s="8">
        <f>'Package Builder'!H15</f>
        <v/>
      </c>
      <c r="D5" s="8">
        <f>C5-B5</f>
        <v/>
      </c>
      <c r="E5" s="22">
        <f>IF(C5&gt;0,D5/C5,"")</f>
        <v/>
      </c>
      <c r="F5" s="8">
        <f>IF('Package Builder'!B41&gt;0,C5/'Package Builder'!B41,"")</f>
        <v/>
      </c>
      <c r="G5" s="18" t="n"/>
    </row>
    <row r="6">
      <c r="A6" s="5" t="inlineStr">
        <is>
          <t>호텔</t>
        </is>
      </c>
      <c r="B6" s="8">
        <f>'Package Builder'!G22</f>
        <v/>
      </c>
      <c r="C6" s="8">
        <f>'Package Builder'!H22</f>
        <v/>
      </c>
      <c r="D6" s="8">
        <f>C6-B6</f>
        <v/>
      </c>
      <c r="E6" s="22">
        <f>IF(C6&gt;0,D6/C6,"")</f>
        <v/>
      </c>
      <c r="F6" s="8">
        <f>IF('Package Builder'!B41&gt;0,C6/'Package Builder'!B41,"")</f>
        <v/>
      </c>
      <c r="G6" s="18" t="n"/>
    </row>
    <row r="7">
      <c r="A7" s="5" t="inlineStr">
        <is>
          <t>교통</t>
        </is>
      </c>
      <c r="B7" s="8">
        <f>'Package Builder'!G30</f>
        <v/>
      </c>
      <c r="C7" s="8">
        <f>'Package Builder'!H30</f>
        <v/>
      </c>
      <c r="D7" s="8">
        <f>C7-B7</f>
        <v/>
      </c>
      <c r="E7" s="22">
        <f>IF(C7&gt;0,D7/C7,"")</f>
        <v/>
      </c>
      <c r="F7" s="8">
        <f>IF('Package Builder'!B41&gt;0,C7/'Package Builder'!B41,"")</f>
        <v/>
      </c>
      <c r="G7" s="18" t="n"/>
    </row>
    <row r="8">
      <c r="A8" s="5" t="inlineStr">
        <is>
          <t>식사·기타</t>
        </is>
      </c>
      <c r="B8" s="8">
        <f>'Package Builder'!G39</f>
        <v/>
      </c>
      <c r="C8" s="8">
        <f>'Package Builder'!H39</f>
        <v/>
      </c>
      <c r="D8" s="8">
        <f>C8-B8</f>
        <v/>
      </c>
      <c r="E8" s="22">
        <f>IF(C8&gt;0,D8/C8,"")</f>
        <v/>
      </c>
      <c r="F8" s="8">
        <f>IF('Package Builder'!B41&gt;0,C8/'Package Builder'!B41,"")</f>
        <v/>
      </c>
      <c r="G8" s="18" t="n"/>
    </row>
    <row r="10">
      <c r="A10" s="3" t="inlineStr">
        <is>
          <t>🏆 GRAND TOTAL</t>
        </is>
      </c>
    </row>
    <row r="11">
      <c r="A11" s="5" t="inlineStr">
        <is>
          <t>총 원가</t>
        </is>
      </c>
      <c r="B11" s="8" t="inlineStr">
        <is>
          <t>총 판매가</t>
        </is>
      </c>
      <c r="C11" s="8" t="inlineStr">
        <is>
          <t>총 마진</t>
        </is>
      </c>
      <c r="D11" s="20">
        <f>SUM(D5:D9)</f>
        <v/>
      </c>
    </row>
    <row r="12">
      <c r="A12" s="5" t="inlineStr">
        <is>
          <t>전체 마진율</t>
        </is>
      </c>
      <c r="B12" s="23">
        <f>IF(C11&gt;0,D11/C11,"")</f>
        <v/>
      </c>
    </row>
  </sheetData>
  <mergeCells count="3">
    <mergeCell ref="A2:G2"/>
    <mergeCell ref="A1:G1"/>
    <mergeCell ref="A10:G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2026-05-20T23:03:33Z</dcterms:created>
  <dcterms:modified xmlns:dcterms="http://purl.org/dc/terms/" xmlns:xsi="http://www.w3.org/2001/XMLSchema-instance" xsi:type="dcterms:W3CDTF">2026-05-20T23:03:33Z</dcterms:modified>
</cp:coreProperties>
</file>