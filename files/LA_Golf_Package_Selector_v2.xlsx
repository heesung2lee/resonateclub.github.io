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ta" sheetId="1" state="visible" r:id="rId1"/>
    <sheet xmlns:r="http://schemas.openxmlformats.org/officeDocument/2006/relationships" name="Package Types" sheetId="2" state="visible" r:id="rId2"/>
    <sheet xmlns:r="http://schemas.openxmlformats.org/officeDocument/2006/relationships" name="Package Selector" sheetId="3" state="visible" r:id="rId3"/>
    <sheet xmlns:r="http://schemas.openxmlformats.org/officeDocument/2006/relationships" name="Profit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7">
    <font>
      <name val="Calibri"/>
      <family val="2"/>
      <color theme="1"/>
      <sz val="11"/>
      <scheme val="minor"/>
    </font>
    <font>
      <name val="Calibri"/>
      <b val="1"/>
      <color rgb="001A3450"/>
      <sz val="14"/>
    </font>
    <font>
      <name val="Calibri"/>
      <color rgb="00666666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color rgb="001A3450"/>
      <sz val="11"/>
    </font>
    <font>
      <name val="Calibri"/>
      <b val="1"/>
      <color rgb="001A3450"/>
      <sz val="11"/>
    </font>
  </fonts>
  <fills count="8">
    <fill>
      <patternFill/>
    </fill>
    <fill>
      <patternFill patternType="gray125"/>
    </fill>
    <fill>
      <patternFill patternType="solid">
        <fgColor rgb="00D4AF37"/>
      </patternFill>
    </fill>
    <fill>
      <patternFill patternType="solid">
        <fgColor rgb="001A3450"/>
      </patternFill>
    </fill>
    <fill>
      <patternFill patternType="solid">
        <fgColor rgb="00FFFF00"/>
      </patternFill>
    </fill>
    <fill>
      <patternFill patternType="solid">
        <fgColor rgb="00DAEEF3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3" fontId="4" fillId="7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0" fillId="6" borderId="0" pivotButton="0" quotePrefix="0" xfId="0"/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right" vertical="center" wrapText="1"/>
    </xf>
    <xf numFmtId="1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right" vertical="center" wrapText="1"/>
    </xf>
    <xf numFmtId="0" fontId="6" fillId="6" borderId="1" applyAlignment="1" pivotButton="0" quotePrefix="0" xfId="0">
      <alignment horizontal="right" vertical="center" wrapText="1"/>
    </xf>
    <xf numFmtId="164" fontId="4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 wrapText="1"/>
    </xf>
    <xf numFmtId="3" fontId="3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165" fontId="1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165" fontId="4" fillId="5" borderId="1" applyAlignment="1" pivotButton="0" quotePrefix="0" xfId="0">
      <alignment horizontal="center" vertical="center" wrapText="1"/>
    </xf>
    <xf numFmtId="165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3450"/>
    <outlinePr summaryBelow="1" summaryRight="1"/>
    <pageSetUpPr/>
  </sheetPr>
  <dimension ref="A1:E5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4" customWidth="1" min="4" max="4"/>
    <col width="40" customWidth="1" min="5" max="5"/>
  </cols>
  <sheetData>
    <row r="1">
      <c r="A1" s="1" t="inlineStr">
        <is>
          <t>📊 MASTER DATA — 비용 파라미터 (수정 시 전 시트 자동 반영)</t>
        </is>
      </c>
    </row>
    <row r="2">
      <c r="A2" s="2" t="inlineStr">
        <is>
          <t>⚠️ 🟡노란색=직접입력 | 🔵파란색=자동계산 | ⬜빈칸=신규항목 추가용</t>
        </is>
      </c>
    </row>
    <row r="3">
      <c r="A3" s="2" t="inlineStr">
        <is>
          <t xml:space="preserve">    새 코스·호텔 추가는 빈칸에 직접 입력 → 자동으로 드롭다운에 반영</t>
        </is>
      </c>
    </row>
    <row r="5">
      <c r="A5" s="3" t="inlineStr">
        <is>
          <t>⛳ GOLF COURSES (1인 1라운드, USD)</t>
        </is>
      </c>
      <c r="B5" s="4" t="n"/>
      <c r="C5" s="4" t="n"/>
      <c r="D5" s="4" t="n"/>
      <c r="E5" s="4" t="n"/>
    </row>
    <row r="6">
      <c r="A6" s="5" t="inlineStr">
        <is>
          <t>Course</t>
        </is>
      </c>
      <c r="B6" s="5" t="inlineStr">
        <is>
          <t>Cost ($)</t>
        </is>
      </c>
      <c r="C6" s="5" t="inlineStr">
        <is>
          <t>Sell ($)</t>
        </is>
      </c>
      <c r="D6" s="5" t="inlineStr">
        <is>
          <t>Margin ($)</t>
        </is>
      </c>
      <c r="E6" s="5" t="inlineStr">
        <is>
          <t>Notes</t>
        </is>
      </c>
    </row>
    <row r="7">
      <c r="A7" s="6" t="inlineStr">
        <is>
          <t>Trump National LA</t>
        </is>
      </c>
      <c r="B7" s="7" t="n">
        <v>210</v>
      </c>
      <c r="C7" s="7" t="n">
        <v>500</v>
      </c>
      <c r="D7" s="8">
        <f>IF(A7="","",C7-B7)</f>
        <v/>
      </c>
      <c r="E7" s="9" t="inlineStr">
        <is>
          <t>Member guest | Cart incl.</t>
        </is>
      </c>
    </row>
    <row r="8">
      <c r="A8" s="6" t="inlineStr">
        <is>
          <t>Sandpiper GC</t>
        </is>
      </c>
      <c r="B8" s="7" t="n">
        <v>130</v>
      </c>
      <c r="C8" s="7" t="n">
        <v>245</v>
      </c>
      <c r="D8" s="8">
        <f>IF(A8="","",C8-B8)</f>
        <v/>
      </c>
      <c r="E8" s="9" t="inlineStr">
        <is>
          <t>UnderPar deal | Replay free | Non-Resident</t>
        </is>
      </c>
    </row>
    <row r="9">
      <c r="A9" s="6" t="inlineStr">
        <is>
          <t>Hidden Valley GC</t>
        </is>
      </c>
      <c r="B9" s="7" t="n">
        <v>109</v>
      </c>
      <c r="C9" s="7" t="n">
        <v>109</v>
      </c>
      <c r="D9" s="8">
        <f>IF(A9="","",C9-B9)</f>
        <v/>
      </c>
      <c r="E9" s="9" t="inlineStr">
        <is>
          <t>teeitup.com | 9Stamps=1free</t>
        </is>
      </c>
    </row>
    <row r="10">
      <c r="A10" s="6" t="inlineStr"/>
      <c r="B10" s="7" t="inlineStr"/>
      <c r="C10" s="7" t="inlineStr"/>
      <c r="D10" s="8">
        <f>IF(A10="","",C10-B10)</f>
        <v/>
      </c>
      <c r="E10" s="9" t="inlineStr"/>
    </row>
    <row r="11">
      <c r="A11" s="6" t="inlineStr"/>
      <c r="B11" s="7" t="inlineStr"/>
      <c r="C11" s="7" t="inlineStr"/>
      <c r="D11" s="8">
        <f>IF(A11="","",C11-B11)</f>
        <v/>
      </c>
      <c r="E11" s="9" t="inlineStr"/>
    </row>
    <row r="12">
      <c r="A12" s="6" t="inlineStr"/>
      <c r="B12" s="7" t="inlineStr"/>
      <c r="C12" s="7" t="inlineStr"/>
      <c r="D12" s="8">
        <f>IF(A12="","",C12-B12)</f>
        <v/>
      </c>
      <c r="E12" s="9" t="inlineStr"/>
    </row>
    <row r="13">
      <c r="A13" s="6" t="inlineStr"/>
      <c r="B13" s="7" t="inlineStr"/>
      <c r="C13" s="7" t="inlineStr"/>
      <c r="D13" s="8">
        <f>IF(A13="","",C13-B13)</f>
        <v/>
      </c>
      <c r="E13" s="9" t="inlineStr"/>
    </row>
    <row r="14">
      <c r="A14" s="6" t="inlineStr"/>
      <c r="B14" s="7" t="inlineStr"/>
      <c r="C14" s="7" t="inlineStr"/>
      <c r="D14" s="8">
        <f>IF(A14="","",C14-B14)</f>
        <v/>
      </c>
      <c r="E14" s="9" t="inlineStr"/>
    </row>
    <row r="16">
      <c r="A16" s="3" t="inlineStr">
        <is>
          <t>🏨 HOTEL (1인 1박, Double Occupancy, USD)</t>
        </is>
      </c>
      <c r="B16" s="4" t="n"/>
      <c r="C16" s="4" t="n"/>
      <c r="D16" s="4" t="n"/>
      <c r="E16" s="4" t="n"/>
    </row>
    <row r="17">
      <c r="A17" s="5" t="inlineStr">
        <is>
          <t>Hotel</t>
        </is>
      </c>
      <c r="B17" s="5" t="inlineStr">
        <is>
          <t>Cost/night</t>
        </is>
      </c>
      <c r="C17" s="5" t="inlineStr">
        <is>
          <t>Sell/night</t>
        </is>
      </c>
      <c r="D17" s="5" t="inlineStr">
        <is>
          <t>Margin</t>
        </is>
      </c>
      <c r="E17" s="5" t="inlineStr">
        <is>
          <t>Notes</t>
        </is>
      </c>
    </row>
    <row r="18">
      <c r="A18" s="6" t="inlineStr">
        <is>
          <t>Beverly Wilshire (5★) / Same Tier</t>
        </is>
      </c>
      <c r="B18" s="7" t="n">
        <v>275</v>
      </c>
      <c r="C18" s="7" t="n">
        <v>375</v>
      </c>
      <c r="D18" s="8">
        <f>IF(A18="","",C18-B18)</f>
        <v/>
      </c>
      <c r="E18" s="9" t="inlineStr">
        <is>
          <t>$550/room ÷ 2 persons</t>
        </is>
      </c>
    </row>
    <row r="19">
      <c r="A19" s="6" t="inlineStr"/>
      <c r="B19" s="7" t="inlineStr"/>
      <c r="C19" s="7" t="inlineStr"/>
      <c r="D19" s="8">
        <f>IF(A19="","",C19-B19)</f>
        <v/>
      </c>
      <c r="E19" s="9" t="inlineStr"/>
    </row>
    <row r="20">
      <c r="A20" s="6" t="inlineStr"/>
      <c r="B20" s="7" t="inlineStr"/>
      <c r="C20" s="7" t="inlineStr"/>
      <c r="D20" s="8">
        <f>IF(A20="","",C20-B20)</f>
        <v/>
      </c>
      <c r="E20" s="9" t="inlineStr"/>
    </row>
    <row r="21">
      <c r="A21" s="6" t="inlineStr"/>
      <c r="B21" s="7" t="inlineStr"/>
      <c r="C21" s="7" t="inlineStr"/>
      <c r="D21" s="8">
        <f>IF(A21="","",C21-B21)</f>
        <v/>
      </c>
      <c r="E21" s="9" t="inlineStr"/>
    </row>
    <row r="22">
      <c r="A22" s="6" t="inlineStr"/>
      <c r="B22" s="7" t="inlineStr"/>
      <c r="C22" s="7" t="inlineStr"/>
      <c r="D22" s="8">
        <f>IF(A22="","",C22-B22)</f>
        <v/>
      </c>
      <c r="E22" s="9" t="inlineStr"/>
    </row>
    <row r="23">
      <c r="A23" s="6" t="inlineStr"/>
      <c r="B23" s="7" t="inlineStr"/>
      <c r="C23" s="7" t="inlineStr"/>
      <c r="D23" s="8">
        <f>IF(A23="","",C23-B23)</f>
        <v/>
      </c>
      <c r="E23" s="9" t="inlineStr"/>
    </row>
    <row r="25">
      <c r="A25" s="3" t="inlineStr">
        <is>
          <t>🚐 TRANSPORT (1인 기준, 4인 1조, USD)</t>
        </is>
      </c>
      <c r="B25" s="4" t="n"/>
      <c r="C25" s="4" t="n"/>
      <c r="D25" s="4" t="n"/>
      <c r="E25" s="4" t="n"/>
    </row>
    <row r="26">
      <c r="A26" s="5" t="inlineStr">
        <is>
          <t>Item</t>
        </is>
      </c>
      <c r="B26" s="5" t="inlineStr">
        <is>
          <t>Cost/p</t>
        </is>
      </c>
      <c r="C26" s="5" t="inlineStr">
        <is>
          <t>Sell/p</t>
        </is>
      </c>
      <c r="D26" s="5" t="inlineStr">
        <is>
          <t>Margin</t>
        </is>
      </c>
      <c r="E26" s="5" t="inlineStr">
        <is>
          <t>Notes</t>
        </is>
      </c>
    </row>
    <row r="27">
      <c r="A27" s="6" t="inlineStr">
        <is>
          <t>Driver/Guide + Van (일당)</t>
        </is>
      </c>
      <c r="B27" s="7" t="n">
        <v>125</v>
      </c>
      <c r="C27" s="7" t="n">
        <v>175</v>
      </c>
      <c r="D27" s="8">
        <f>IF(A27="","",C27-B27)</f>
        <v/>
      </c>
      <c r="E27" s="9" t="inlineStr">
        <is>
          <t>$500/day ÷ 4p | Driver=Guide</t>
        </is>
      </c>
    </row>
    <row r="28">
      <c r="A28" s="6" t="inlineStr">
        <is>
          <t>Airport Roundtrip Pickup</t>
        </is>
      </c>
      <c r="B28" s="7" t="n">
        <v>75</v>
      </c>
      <c r="C28" s="7" t="n">
        <v>120</v>
      </c>
      <c r="D28" s="8">
        <f>IF(A28="","",C28-B28)</f>
        <v/>
      </c>
      <c r="E28" s="9" t="inlineStr">
        <is>
          <t>LAX ↔ Hotel, per person</t>
        </is>
      </c>
    </row>
    <row r="29">
      <c r="A29" s="6" t="inlineStr"/>
      <c r="B29" s="7" t="inlineStr"/>
      <c r="C29" s="7" t="inlineStr"/>
      <c r="D29" s="8">
        <f>IF(A29="","",C29-B29)</f>
        <v/>
      </c>
      <c r="E29" s="9" t="inlineStr"/>
    </row>
    <row r="30">
      <c r="A30" s="6" t="inlineStr"/>
      <c r="B30" s="7" t="inlineStr"/>
      <c r="C30" s="7" t="inlineStr"/>
      <c r="D30" s="8">
        <f>IF(A30="","",C30-B30)</f>
        <v/>
      </c>
      <c r="E30" s="9" t="inlineStr"/>
    </row>
    <row r="31">
      <c r="A31" s="6" t="inlineStr"/>
      <c r="B31" s="7" t="inlineStr"/>
      <c r="C31" s="7" t="inlineStr"/>
      <c r="D31" s="8">
        <f>IF(A31="","",C31-B31)</f>
        <v/>
      </c>
      <c r="E31" s="9" t="inlineStr"/>
    </row>
    <row r="32">
      <c r="A32" s="6" t="inlineStr"/>
      <c r="B32" s="7" t="inlineStr"/>
      <c r="C32" s="7" t="inlineStr"/>
      <c r="D32" s="8">
        <f>IF(A32="","",C32-B32)</f>
        <v/>
      </c>
      <c r="E32" s="9" t="inlineStr"/>
    </row>
    <row r="33">
      <c r="A33" s="6" t="inlineStr"/>
      <c r="B33" s="7" t="inlineStr"/>
      <c r="C33" s="7" t="inlineStr"/>
      <c r="D33" s="8">
        <f>IF(A33="","",C33-B33)</f>
        <v/>
      </c>
      <c r="E33" s="9" t="inlineStr"/>
    </row>
    <row r="35">
      <c r="A35" s="3" t="inlineStr">
        <is>
          <t>🍽️ MEALS (1인 1끼, USD)</t>
        </is>
      </c>
      <c r="B35" s="4" t="n"/>
      <c r="C35" s="4" t="n"/>
      <c r="D35" s="4" t="n"/>
      <c r="E35" s="4" t="n"/>
    </row>
    <row r="36">
      <c r="A36" s="5" t="inlineStr">
        <is>
          <t>Meal</t>
        </is>
      </c>
      <c r="B36" s="5" t="inlineStr">
        <is>
          <t>Cost</t>
        </is>
      </c>
      <c r="C36" s="5" t="inlineStr">
        <is>
          <t>Sell</t>
        </is>
      </c>
      <c r="D36" s="5" t="inlineStr">
        <is>
          <t>Margin</t>
        </is>
      </c>
      <c r="E36" s="5" t="inlineStr">
        <is>
          <t>Notes</t>
        </is>
      </c>
    </row>
    <row r="37">
      <c r="A37" s="6" t="inlineStr">
        <is>
          <t>Breakfast (Hotel)</t>
        </is>
      </c>
      <c r="B37" s="7" t="n">
        <v>30</v>
      </c>
      <c r="C37" s="7" t="n">
        <v>45</v>
      </c>
      <c r="D37" s="8">
        <f>IF(A37="","",C37-B37)</f>
        <v/>
      </c>
      <c r="E37" s="9" t="inlineStr">
        <is>
          <t>Daily included</t>
        </is>
      </c>
    </row>
    <row r="38">
      <c r="A38" s="6" t="inlineStr">
        <is>
          <t>Lunch</t>
        </is>
      </c>
      <c r="B38" s="7" t="n">
        <v>40</v>
      </c>
      <c r="C38" s="7" t="n">
        <v>60</v>
      </c>
      <c r="D38" s="8">
        <f>IF(A38="","",C38-B38)</f>
        <v/>
      </c>
      <c r="E38" s="9" t="inlineStr">
        <is>
          <t>Daily included</t>
        </is>
      </c>
    </row>
    <row r="39">
      <c r="A39" s="6" t="inlineStr">
        <is>
          <t>Dinner (Regular)</t>
        </is>
      </c>
      <c r="B39" s="7" t="n">
        <v>80</v>
      </c>
      <c r="C39" s="7" t="n">
        <v>120</v>
      </c>
      <c r="D39" s="8">
        <f>IF(A39="","",C39-B39)</f>
        <v/>
      </c>
      <c r="E39" s="9" t="inlineStr">
        <is>
          <t>Regular dinner</t>
        </is>
      </c>
    </row>
    <row r="40">
      <c r="A40" s="6" t="inlineStr">
        <is>
          <t>Exclusive Dinner (Michelin/Fine)</t>
        </is>
      </c>
      <c r="B40" s="7" t="n">
        <v>120</v>
      </c>
      <c r="C40" s="7" t="n">
        <v>180</v>
      </c>
      <c r="D40" s="8">
        <f>IF(A40="","",C40-B40)</f>
        <v/>
      </c>
      <c r="E40" s="9" t="inlineStr">
        <is>
          <t>2x per trip</t>
        </is>
      </c>
    </row>
    <row r="41">
      <c r="A41" s="6" t="inlineStr"/>
      <c r="B41" s="7" t="inlineStr"/>
      <c r="C41" s="7" t="inlineStr"/>
      <c r="D41" s="8">
        <f>IF(A41="","",C41-B41)</f>
        <v/>
      </c>
      <c r="E41" s="9" t="inlineStr"/>
    </row>
    <row r="42">
      <c r="A42" s="6" t="inlineStr"/>
      <c r="B42" s="7" t="inlineStr"/>
      <c r="C42" s="7" t="inlineStr"/>
      <c r="D42" s="8">
        <f>IF(A42="","",C42-B42)</f>
        <v/>
      </c>
      <c r="E42" s="9" t="inlineStr"/>
    </row>
    <row r="43">
      <c r="A43" s="6" t="inlineStr"/>
      <c r="B43" s="7" t="inlineStr"/>
      <c r="C43" s="7" t="inlineStr"/>
      <c r="D43" s="8">
        <f>IF(A43="","",C43-B43)</f>
        <v/>
      </c>
      <c r="E43" s="9" t="inlineStr"/>
    </row>
    <row r="44">
      <c r="A44" s="6" t="inlineStr"/>
      <c r="B44" s="7" t="inlineStr"/>
      <c r="C44" s="7" t="inlineStr"/>
      <c r="D44" s="8">
        <f>IF(A44="","",C44-B44)</f>
        <v/>
      </c>
      <c r="E44" s="9" t="inlineStr"/>
    </row>
    <row r="45">
      <c r="A45" s="6" t="inlineStr"/>
      <c r="B45" s="7" t="inlineStr"/>
      <c r="C45" s="7" t="inlineStr"/>
      <c r="D45" s="8">
        <f>IF(A45="","",C45-B45)</f>
        <v/>
      </c>
      <c r="E45" s="9" t="inlineStr"/>
    </row>
    <row r="47">
      <c r="A47" s="3" t="inlineStr">
        <is>
          <t>📦 OTHER (1인 1일, USD)</t>
        </is>
      </c>
      <c r="B47" s="4" t="n"/>
      <c r="C47" s="4" t="n"/>
      <c r="D47" s="4" t="n"/>
      <c r="E47" s="4" t="n"/>
    </row>
    <row r="48">
      <c r="A48" s="5" t="inlineStr">
        <is>
          <t>Item</t>
        </is>
      </c>
      <c r="B48" s="5" t="inlineStr">
        <is>
          <t>Cost</t>
        </is>
      </c>
      <c r="C48" s="5" t="inlineStr">
        <is>
          <t>Sell</t>
        </is>
      </c>
      <c r="D48" s="5" t="inlineStr">
        <is>
          <t>Margin</t>
        </is>
      </c>
      <c r="E48" s="5" t="inlineStr">
        <is>
          <t>Notes</t>
        </is>
      </c>
    </row>
    <row r="49">
      <c r="A49" s="6" t="inlineStr">
        <is>
          <t>Insurance / Tips / Contingency</t>
        </is>
      </c>
      <c r="B49" s="7" t="n">
        <v>50</v>
      </c>
      <c r="C49" s="7" t="n">
        <v>75</v>
      </c>
      <c r="D49" s="8">
        <f>IF(A49="","",C49-B49)</f>
        <v/>
      </c>
      <c r="E49" s="9" t="inlineStr">
        <is>
          <t>Per person per day</t>
        </is>
      </c>
    </row>
    <row r="50">
      <c r="A50" s="6" t="inlineStr"/>
      <c r="B50" s="7" t="inlineStr"/>
      <c r="C50" s="7" t="inlineStr"/>
      <c r="D50" s="8">
        <f>IF(A50="","",C50-B50)</f>
        <v/>
      </c>
      <c r="E50" s="9" t="inlineStr"/>
    </row>
    <row r="51">
      <c r="A51" s="6" t="inlineStr"/>
      <c r="B51" s="7" t="inlineStr"/>
      <c r="C51" s="7" t="inlineStr"/>
      <c r="D51" s="8">
        <f>IF(A51="","",C51-B51)</f>
        <v/>
      </c>
      <c r="E51" s="9" t="inlineStr"/>
    </row>
    <row r="52">
      <c r="A52" s="6" t="inlineStr"/>
      <c r="B52" s="7" t="inlineStr"/>
      <c r="C52" s="7" t="inlineStr"/>
      <c r="D52" s="8">
        <f>IF(A52="","",C52-B52)</f>
        <v/>
      </c>
      <c r="E52" s="9" t="inlineStr"/>
    </row>
    <row r="53">
      <c r="A53" s="6" t="inlineStr"/>
      <c r="B53" s="7" t="inlineStr"/>
      <c r="C53" s="7" t="inlineStr"/>
      <c r="D53" s="8">
        <f>IF(A53="","",C53-B53)</f>
        <v/>
      </c>
      <c r="E53" s="9" t="inlineStr"/>
    </row>
    <row r="54">
      <c r="A54" s="6" t="inlineStr"/>
      <c r="B54" s="7" t="inlineStr"/>
      <c r="C54" s="7" t="inlineStr"/>
      <c r="D54" s="8">
        <f>IF(A54="","",C54-B54)</f>
        <v/>
      </c>
      <c r="E54" s="9" t="inlineStr"/>
    </row>
  </sheetData>
  <mergeCells count="6">
    <mergeCell ref="A35:E35"/>
    <mergeCell ref="A16:E16"/>
    <mergeCell ref="A25:E25"/>
    <mergeCell ref="A47:E47"/>
    <mergeCell ref="A1:E1"/>
    <mergeCell ref="A5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4AF37"/>
    <outlinePr summaryBelow="1" summaryRight="1"/>
    <pageSetUpPr/>
  </sheetPr>
  <dimension ref="A1:N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4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🎯 결 TOUR — 대표 패키지 (1인 기준, USD | 중복코스 없음)</t>
        </is>
      </c>
    </row>
    <row r="2">
      <c r="A2" s="2" t="inlineStr">
        <is>
          <t>⚠️ 아래는 참고용 대표패키지 → 'Package Selector' 시트에서 자유롭게 커스터마이징 가능</t>
        </is>
      </c>
    </row>
    <row r="4">
      <c r="A4" s="5" t="inlineStr">
        <is>
          <t>No</t>
        </is>
      </c>
      <c r="B4" s="5" t="inlineStr">
        <is>
          <t>ID</t>
        </is>
      </c>
      <c r="C4" s="5" t="inlineStr">
        <is>
          <t>일정</t>
        </is>
      </c>
      <c r="D4" s="5" t="inlineStr">
        <is>
          <t>패키지명</t>
        </is>
      </c>
      <c r="E4" s="5" t="inlineStr">
        <is>
          <t>박</t>
        </is>
      </c>
      <c r="F4" s="5" t="inlineStr">
        <is>
          <t>일</t>
        </is>
      </c>
      <c r="G4" s="5" t="inlineStr">
        <is>
          <t>Rds</t>
        </is>
      </c>
      <c r="H4" s="5" t="inlineStr">
        <is>
          <t>코스구성</t>
        </is>
      </c>
      <c r="I4" s="5" t="inlineStr">
        <is>
          <t>골프C</t>
        </is>
      </c>
      <c r="J4" s="5" t="inlineStr">
        <is>
          <t>골프S</t>
        </is>
      </c>
      <c r="K4" s="5" t="inlineStr">
        <is>
          <t>호텔C</t>
        </is>
      </c>
      <c r="L4" s="5" t="inlineStr">
        <is>
          <t>호텔S</t>
        </is>
      </c>
      <c r="M4" s="5" t="inlineStr">
        <is>
          <t>마진</t>
        </is>
      </c>
      <c r="N4" s="5" t="inlineStr">
        <is>
          <t>마진율</t>
        </is>
      </c>
    </row>
    <row r="5">
      <c r="A5" s="9" t="n">
        <v>1</v>
      </c>
      <c r="B5" s="10" t="inlineStr">
        <is>
          <t>S1</t>
        </is>
      </c>
      <c r="C5" s="9" t="inlineStr">
        <is>
          <t>3N4D</t>
        </is>
      </c>
      <c r="D5" s="9" t="inlineStr">
        <is>
          <t>트럼프 + 샌드파이퍼 오션뷰</t>
        </is>
      </c>
      <c r="E5" s="9" t="n">
        <v>3</v>
      </c>
      <c r="F5" s="9" t="n">
        <v>4</v>
      </c>
      <c r="G5" s="9" t="n">
        <v>2</v>
      </c>
      <c r="H5" s="9" t="inlineStr">
        <is>
          <t>Trump×1 + Sand×1</t>
        </is>
      </c>
      <c r="I5" s="8" t="n">
        <v>340</v>
      </c>
      <c r="J5" s="8" t="n">
        <v>745</v>
      </c>
      <c r="K5" s="8" t="n">
        <v>825</v>
      </c>
      <c r="L5" s="8" t="n">
        <v>1125</v>
      </c>
      <c r="M5" s="11" t="n">
        <v>705</v>
      </c>
      <c r="N5" s="12">
        <f>IF(J5+L5&gt;0,(J5+L5-I5-K5)/(J5+L5),0)</f>
        <v/>
      </c>
    </row>
    <row r="6">
      <c r="A6" s="9" t="n">
        <v>2</v>
      </c>
      <c r="B6" s="10" t="inlineStr">
        <is>
          <t>S2</t>
        </is>
      </c>
      <c r="C6" s="9" t="inlineStr">
        <is>
          <t>3N4D</t>
        </is>
      </c>
      <c r="D6" s="9" t="inlineStr">
        <is>
          <t>트럼프 + 히든밸리 밸리뷰</t>
        </is>
      </c>
      <c r="E6" s="9" t="n">
        <v>3</v>
      </c>
      <c r="F6" s="9" t="n">
        <v>4</v>
      </c>
      <c r="G6" s="9" t="n">
        <v>2</v>
      </c>
      <c r="H6" s="9" t="inlineStr">
        <is>
          <t>Trump×1 + HV×1</t>
        </is>
      </c>
      <c r="I6" s="8" t="n">
        <v>319</v>
      </c>
      <c r="J6" s="8" t="n">
        <v>609</v>
      </c>
      <c r="K6" s="8" t="n">
        <v>825</v>
      </c>
      <c r="L6" s="8" t="n">
        <v>1125</v>
      </c>
      <c r="M6" s="11">
        <f>J6+L6-I6-K6</f>
        <v/>
      </c>
      <c r="N6" s="12">
        <f>IF(J6+L6&gt;0,(J6+L6-I6-K6)/(J6+L6),0)</f>
        <v/>
      </c>
    </row>
    <row r="7">
      <c r="A7" s="9" t="n">
        <v>3</v>
      </c>
      <c r="B7" s="10" t="inlineStr">
        <is>
          <t>S3</t>
        </is>
      </c>
      <c r="C7" s="9" t="inlineStr">
        <is>
          <t>3N4D</t>
        </is>
      </c>
      <c r="D7" s="9" t="inlineStr">
        <is>
          <t>샌드파이퍼 + 히든밸리</t>
        </is>
      </c>
      <c r="E7" s="9" t="n">
        <v>3</v>
      </c>
      <c r="F7" s="9" t="n">
        <v>4</v>
      </c>
      <c r="G7" s="9" t="n">
        <v>2</v>
      </c>
      <c r="H7" s="9" t="inlineStr">
        <is>
          <t>Sand×1 + HV×1</t>
        </is>
      </c>
      <c r="I7" s="8" t="n">
        <v>239</v>
      </c>
      <c r="J7" s="8" t="n">
        <v>354</v>
      </c>
      <c r="K7" s="8" t="n">
        <v>825</v>
      </c>
      <c r="L7" s="8" t="n">
        <v>1125</v>
      </c>
      <c r="M7" s="11">
        <f>J7+L7-I7-K7</f>
        <v/>
      </c>
      <c r="N7" s="12">
        <f>IF(J7+L7&gt;0,(J7+L7-I7-K7)/(J7+L7),0)</f>
        <v/>
      </c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</row>
    <row r="9">
      <c r="A9" s="9" t="n">
        <v>4</v>
      </c>
      <c r="B9" s="10" t="inlineStr">
        <is>
          <t>M1</t>
        </is>
      </c>
      <c r="C9" s="9" t="inlineStr">
        <is>
          <t>5N7D</t>
        </is>
      </c>
      <c r="D9" s="9" t="inlineStr">
        <is>
          <t>트럼프+샌드+히든 3色 시그니처</t>
        </is>
      </c>
      <c r="E9" s="9" t="n">
        <v>5</v>
      </c>
      <c r="F9" s="9" t="n">
        <v>7</v>
      </c>
      <c r="G9" s="9" t="n">
        <v>3</v>
      </c>
      <c r="H9" s="9" t="inlineStr">
        <is>
          <t>Trump×1+Sand×1+HV×1</t>
        </is>
      </c>
      <c r="I9" s="8" t="n">
        <v>449</v>
      </c>
      <c r="J9" s="8" t="n">
        <v>854</v>
      </c>
      <c r="K9" s="8" t="n">
        <v>1375</v>
      </c>
      <c r="L9" s="8" t="n">
        <v>1875</v>
      </c>
      <c r="M9" s="11">
        <f>J9+L9-I9-K9</f>
        <v/>
      </c>
      <c r="N9" s="12">
        <f>IF(J9+L9&gt;0,(J9+L9-I9-K9)/(J9+L9),0)</f>
        <v/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/>
  </sheetPr>
  <dimension ref="A1:J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8" customWidth="1" min="3" max="3"/>
    <col width="13" customWidth="1" min="4" max="4"/>
    <col width="13" customWidth="1" min="5" max="5"/>
    <col width="13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🎯 결 TOUR — Package Selector &amp; Estimator</t>
        </is>
      </c>
    </row>
    <row r="2">
      <c r="A2" s="2" t="inlineStr">
        <is>
          <t>⬇️ 드롭다운으로 항목 선택 → 가격 자동계산 → 나만의 견적서 완성!</t>
        </is>
      </c>
    </row>
    <row r="4">
      <c r="A4" s="3" t="inlineStr">
        <is>
          <t>📋 PACKAGE INFO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A5" s="14" t="inlineStr">
        <is>
          <t>Package Name</t>
        </is>
      </c>
      <c r="B5" s="6" t="inlineStr"/>
      <c r="E5" s="15" t="inlineStr">
        <is>
          <t>Golfers</t>
        </is>
      </c>
      <c r="F5" s="16" t="n">
        <v>4</v>
      </c>
      <c r="G5" s="17" t="inlineStr">
        <is>
          <t>persons</t>
        </is>
      </c>
    </row>
    <row r="6">
      <c r="A6" s="14" t="inlineStr">
        <is>
          <t>Duration</t>
        </is>
      </c>
      <c r="B6" s="6" t="inlineStr">
        <is>
          <t>5N7D</t>
        </is>
      </c>
      <c r="C6" s="18" t="inlineStr">
        <is>
          <t>→</t>
        </is>
      </c>
      <c r="D6" s="10" t="inlineStr">
        <is>
          <t>Nights (auto)</t>
        </is>
      </c>
      <c r="E6" s="19">
        <f>IF(B6="3N4D",3,IF(B6="4N5D",4,IF(B6="5N6D",5,IF(B6="6N7D",6,IF(B6="7N8D",7,IF(B6="10N11D",10,IF(B6="12N13D",12,3)))))))</f>
        <v/>
      </c>
      <c r="F6" s="17" t="inlineStr">
        <is>
          <t>nights</t>
        </is>
      </c>
      <c r="G6" s="20" t="inlineStr">
        <is>
          <t>Days (auto)</t>
        </is>
      </c>
      <c r="H6" s="19">
        <f>E6+1</f>
        <v/>
      </c>
    </row>
    <row r="9">
      <c r="A9" s="3" t="inlineStr">
        <is>
          <t>⛳ GOLF (1인 1라운드)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5" t="inlineStr">
        <is>
          <t>#</t>
        </is>
      </c>
      <c r="B10" s="5" t="inlineStr">
        <is>
          <t>Item (Select ▼)</t>
        </is>
      </c>
      <c r="C10" s="5" t="inlineStr">
        <is>
          <t>Qty</t>
        </is>
      </c>
      <c r="D10" s="5" t="inlineStr">
        <is>
          <t>Cost/unit</t>
        </is>
      </c>
      <c r="E10" s="5" t="inlineStr">
        <is>
          <t>Sell/unit</t>
        </is>
      </c>
      <c r="F10" s="5" t="inlineStr">
        <is>
          <t>Margin/u</t>
        </is>
      </c>
      <c r="G10" s="5" t="inlineStr">
        <is>
          <t>Total Cost</t>
        </is>
      </c>
      <c r="H10" s="5" t="inlineStr">
        <is>
          <t>Total Sell</t>
        </is>
      </c>
      <c r="I10" s="5" t="inlineStr">
        <is>
          <t>Total Margin</t>
        </is>
      </c>
      <c r="J10" s="5" t="inlineStr">
        <is>
          <t>Notes</t>
        </is>
      </c>
    </row>
    <row r="11">
      <c r="A11" s="9" t="n">
        <v>1</v>
      </c>
      <c r="B11" s="6" t="inlineStr"/>
      <c r="C11" s="7" t="inlineStr"/>
      <c r="D11" s="8">
        <f>IF(B11="","",VLOOKUP(B11,'Master Data'!$A$7:$C$14,2,FALSE))</f>
        <v/>
      </c>
      <c r="E11" s="8">
        <f>IF(B11="","",VLOOKUP(B11,'Master Data'!$A$7:$C$14,3,FALSE))</f>
        <v/>
      </c>
      <c r="F11" s="8">
        <f>IF(B11="","",E11-D11)</f>
        <v/>
      </c>
      <c r="G11" s="8">
        <f>IF(B11="","",C11*D11)</f>
        <v/>
      </c>
      <c r="H11" s="8">
        <f>IF(B11="","",C11*E11)</f>
        <v/>
      </c>
      <c r="I11" s="8">
        <f>IF(B11="","",H11-G11)</f>
        <v/>
      </c>
      <c r="J11" s="9" t="inlineStr"/>
    </row>
    <row r="12">
      <c r="A12" s="9" t="n">
        <v>2</v>
      </c>
      <c r="B12" s="6" t="inlineStr"/>
      <c r="C12" s="7" t="inlineStr"/>
      <c r="D12" s="8">
        <f>IF(B12="","",VLOOKUP(B12,'Master Data'!$A$7:$C$14,2,FALSE))</f>
        <v/>
      </c>
      <c r="E12" s="8">
        <f>IF(B12="","",VLOOKUP(B12,'Master Data'!$A$7:$C$14,3,FALSE))</f>
        <v/>
      </c>
      <c r="F12" s="8">
        <f>IF(B12="","",E12-D12)</f>
        <v/>
      </c>
      <c r="G12" s="8">
        <f>IF(B12="","",C12*D12)</f>
        <v/>
      </c>
      <c r="H12" s="8">
        <f>IF(B12="","",C12*E12)</f>
        <v/>
      </c>
      <c r="I12" s="8">
        <f>IF(B12="","",H12-G12)</f>
        <v/>
      </c>
      <c r="J12" s="9" t="inlineStr"/>
    </row>
    <row r="13">
      <c r="A13" s="9" t="n">
        <v>3</v>
      </c>
      <c r="B13" s="6" t="inlineStr"/>
      <c r="C13" s="7" t="inlineStr"/>
      <c r="D13" s="8">
        <f>IF(B13="","",VLOOKUP(B13,'Master Data'!$A$7:$C$14,2,FALSE))</f>
        <v/>
      </c>
      <c r="E13" s="8">
        <f>IF(B13="","",VLOOKUP(B13,'Master Data'!$A$7:$C$14,3,FALSE))</f>
        <v/>
      </c>
      <c r="F13" s="8">
        <f>IF(B13="","",E13-D13)</f>
        <v/>
      </c>
      <c r="G13" s="8">
        <f>IF(B13="","",C13*D13)</f>
        <v/>
      </c>
      <c r="H13" s="8">
        <f>IF(B13="","",C13*E13)</f>
        <v/>
      </c>
      <c r="I13" s="8">
        <f>IF(B13="","",H13-G13)</f>
        <v/>
      </c>
      <c r="J13" s="9" t="inlineStr"/>
    </row>
    <row r="14">
      <c r="A14" s="9" t="n">
        <v>4</v>
      </c>
      <c r="B14" s="6" t="inlineStr"/>
      <c r="C14" s="7" t="inlineStr"/>
      <c r="D14" s="8">
        <f>IF(B14="","",VLOOKUP(B14,'Master Data'!$A$7:$C$14,2,FALSE))</f>
        <v/>
      </c>
      <c r="E14" s="8">
        <f>IF(B14="","",VLOOKUP(B14,'Master Data'!$A$7:$C$14,3,FALSE))</f>
        <v/>
      </c>
      <c r="F14" s="8">
        <f>IF(B14="","",E14-D14)</f>
        <v/>
      </c>
      <c r="G14" s="8">
        <f>IF(B14="","",C14*D14)</f>
        <v/>
      </c>
      <c r="H14" s="8">
        <f>IF(B14="","",C14*E14)</f>
        <v/>
      </c>
      <c r="I14" s="8">
        <f>IF(B14="","",H14-G14)</f>
        <v/>
      </c>
      <c r="J14" s="9" t="inlineStr"/>
    </row>
    <row r="15">
      <c r="A15" s="9" t="n">
        <v>5</v>
      </c>
      <c r="B15" s="6" t="inlineStr"/>
      <c r="C15" s="7" t="inlineStr"/>
      <c r="D15" s="8">
        <f>IF(B15="","",VLOOKUP(B15,'Master Data'!$A$7:$C$14,2,FALSE))</f>
        <v/>
      </c>
      <c r="E15" s="8">
        <f>IF(B15="","",VLOOKUP(B15,'Master Data'!$A$7:$C$14,3,FALSE))</f>
        <v/>
      </c>
      <c r="F15" s="8">
        <f>IF(B15="","",E15-D15)</f>
        <v/>
      </c>
      <c r="G15" s="8">
        <f>IF(B15="","",C15*D15)</f>
        <v/>
      </c>
      <c r="H15" s="8">
        <f>IF(B15="","",C15*E15)</f>
        <v/>
      </c>
      <c r="I15" s="8">
        <f>IF(B15="","",H15-G15)</f>
        <v/>
      </c>
      <c r="J15" s="9" t="inlineStr"/>
    </row>
    <row r="16">
      <c r="A16" s="21" t="inlineStr">
        <is>
          <t>SUBTOTAL</t>
        </is>
      </c>
      <c r="G16" s="11">
        <f>SUM(G11:G15)</f>
        <v/>
      </c>
      <c r="H16" s="11">
        <f>SUM(H11:H15)</f>
        <v/>
      </c>
      <c r="I16" s="11">
        <f>SUM(I11:I15)</f>
        <v/>
      </c>
      <c r="J16" s="9" t="inlineStr"/>
    </row>
    <row r="18">
      <c r="A18" s="3" t="inlineStr">
        <is>
          <t>🏨 HOTEL (1인 1박)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5" t="inlineStr">
        <is>
          <t>#</t>
        </is>
      </c>
      <c r="B19" s="5" t="inlineStr">
        <is>
          <t>Item (Select ▼)</t>
        </is>
      </c>
      <c r="C19" s="5" t="inlineStr">
        <is>
          <t>Qty</t>
        </is>
      </c>
      <c r="D19" s="5" t="inlineStr">
        <is>
          <t>Cost/unit</t>
        </is>
      </c>
      <c r="E19" s="5" t="inlineStr">
        <is>
          <t>Sell/unit</t>
        </is>
      </c>
      <c r="F19" s="5" t="inlineStr">
        <is>
          <t>Margin/u</t>
        </is>
      </c>
      <c r="G19" s="5" t="inlineStr">
        <is>
          <t>Total Cost</t>
        </is>
      </c>
      <c r="H19" s="5" t="inlineStr">
        <is>
          <t>Total Sell</t>
        </is>
      </c>
      <c r="I19" s="5" t="inlineStr">
        <is>
          <t>Total Margin</t>
        </is>
      </c>
      <c r="J19" s="5" t="inlineStr">
        <is>
          <t>Notes</t>
        </is>
      </c>
    </row>
    <row r="20">
      <c r="A20" s="9" t="n">
        <v>1</v>
      </c>
      <c r="B20" s="6" t="inlineStr"/>
      <c r="C20" s="7" t="inlineStr"/>
      <c r="D20" s="8">
        <f>IF(B20="","",VLOOKUP(B20,'Master Data'!$A$18:$C$23,2,FALSE))</f>
        <v/>
      </c>
      <c r="E20" s="8">
        <f>IF(B20="","",VLOOKUP(B20,'Master Data'!$A$18:$C$23,3,FALSE))</f>
        <v/>
      </c>
      <c r="F20" s="8">
        <f>IF(B20="","",E20-D20)</f>
        <v/>
      </c>
      <c r="G20" s="8">
        <f>IF(B20="","",C20*D20)</f>
        <v/>
      </c>
      <c r="H20" s="8">
        <f>IF(B20="","",C20*E20)</f>
        <v/>
      </c>
      <c r="I20" s="8">
        <f>IF(B20="","",H20-G20)</f>
        <v/>
      </c>
      <c r="J20" s="9" t="inlineStr"/>
    </row>
    <row r="21">
      <c r="A21" s="9" t="n">
        <v>2</v>
      </c>
      <c r="B21" s="6" t="inlineStr"/>
      <c r="C21" s="7" t="inlineStr"/>
      <c r="D21" s="8">
        <f>IF(B21="","",VLOOKUP(B21,'Master Data'!$A$18:$C$23,2,FALSE))</f>
        <v/>
      </c>
      <c r="E21" s="8">
        <f>IF(B21="","",VLOOKUP(B21,'Master Data'!$A$18:$C$23,3,FALSE))</f>
        <v/>
      </c>
      <c r="F21" s="8">
        <f>IF(B21="","",E21-D21)</f>
        <v/>
      </c>
      <c r="G21" s="8">
        <f>IF(B21="","",C21*D21)</f>
        <v/>
      </c>
      <c r="H21" s="8">
        <f>IF(B21="","",C21*E21)</f>
        <v/>
      </c>
      <c r="I21" s="8">
        <f>IF(B21="","",H21-G21)</f>
        <v/>
      </c>
      <c r="J21" s="9" t="inlineStr"/>
    </row>
    <row r="22">
      <c r="A22" s="9" t="n">
        <v>3</v>
      </c>
      <c r="B22" s="6" t="inlineStr"/>
      <c r="C22" s="7" t="inlineStr"/>
      <c r="D22" s="8">
        <f>IF(B22="","",VLOOKUP(B22,'Master Data'!$A$18:$C$23,2,FALSE))</f>
        <v/>
      </c>
      <c r="E22" s="8">
        <f>IF(B22="","",VLOOKUP(B22,'Master Data'!$A$18:$C$23,3,FALSE))</f>
        <v/>
      </c>
      <c r="F22" s="8">
        <f>IF(B22="","",E22-D22)</f>
        <v/>
      </c>
      <c r="G22" s="8">
        <f>IF(B22="","",C22*D22)</f>
        <v/>
      </c>
      <c r="H22" s="8">
        <f>IF(B22="","",C22*E22)</f>
        <v/>
      </c>
      <c r="I22" s="8">
        <f>IF(B22="","",H22-G22)</f>
        <v/>
      </c>
      <c r="J22" s="9" t="inlineStr"/>
    </row>
    <row r="23">
      <c r="A23" s="21" t="inlineStr">
        <is>
          <t>SUBTOTAL</t>
        </is>
      </c>
      <c r="G23" s="11">
        <f>SUM(G20:G22)</f>
        <v/>
      </c>
      <c r="H23" s="11">
        <f>SUM(H20:H22)</f>
        <v/>
      </c>
      <c r="I23" s="11">
        <f>SUM(I20:I22)</f>
        <v/>
      </c>
      <c r="J23" s="9" t="inlineStr"/>
    </row>
    <row r="25">
      <c r="A25" s="3" t="inlineStr">
        <is>
          <t>🚐 TRANSPORT (1인 기준)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>
      <c r="A26" s="5" t="inlineStr">
        <is>
          <t>#</t>
        </is>
      </c>
      <c r="B26" s="5" t="inlineStr">
        <is>
          <t>Item (Select ▼)</t>
        </is>
      </c>
      <c r="C26" s="5" t="inlineStr">
        <is>
          <t>Qty</t>
        </is>
      </c>
      <c r="D26" s="5" t="inlineStr">
        <is>
          <t>Cost/unit</t>
        </is>
      </c>
      <c r="E26" s="5" t="inlineStr">
        <is>
          <t>Sell/unit</t>
        </is>
      </c>
      <c r="F26" s="5" t="inlineStr">
        <is>
          <t>Margin/u</t>
        </is>
      </c>
      <c r="G26" s="5" t="inlineStr">
        <is>
          <t>Total Cost</t>
        </is>
      </c>
      <c r="H26" s="5" t="inlineStr">
        <is>
          <t>Total Sell</t>
        </is>
      </c>
      <c r="I26" s="5" t="inlineStr">
        <is>
          <t>Total Margin</t>
        </is>
      </c>
      <c r="J26" s="5" t="inlineStr">
        <is>
          <t>Notes</t>
        </is>
      </c>
    </row>
    <row r="27">
      <c r="A27" s="9" t="n">
        <v>1</v>
      </c>
      <c r="B27" s="6" t="inlineStr"/>
      <c r="C27" s="7" t="inlineStr"/>
      <c r="D27" s="8">
        <f>IF(B27="","",VLOOKUP(B27,'Master Data'!$A$27:$C$33,2,FALSE))</f>
        <v/>
      </c>
      <c r="E27" s="8">
        <f>IF(B27="","",VLOOKUP(B27,'Master Data'!$A$27:$C$33,3,FALSE))</f>
        <v/>
      </c>
      <c r="F27" s="8">
        <f>IF(B27="","",E27-D27)</f>
        <v/>
      </c>
      <c r="G27" s="8">
        <f>IF(B27="","",C27*D27)</f>
        <v/>
      </c>
      <c r="H27" s="8">
        <f>IF(B27="","",C27*E27)</f>
        <v/>
      </c>
      <c r="I27" s="8">
        <f>IF(B27="","",H27-G27)</f>
        <v/>
      </c>
      <c r="J27" s="9" t="inlineStr"/>
    </row>
    <row r="28">
      <c r="A28" s="9" t="n">
        <v>2</v>
      </c>
      <c r="B28" s="6" t="inlineStr"/>
      <c r="C28" s="7" t="inlineStr"/>
      <c r="D28" s="8">
        <f>IF(B28="","",VLOOKUP(B28,'Master Data'!$A$27:$C$33,2,FALSE))</f>
        <v/>
      </c>
      <c r="E28" s="8">
        <f>IF(B28="","",VLOOKUP(B28,'Master Data'!$A$27:$C$33,3,FALSE))</f>
        <v/>
      </c>
      <c r="F28" s="8">
        <f>IF(B28="","",E28-D28)</f>
        <v/>
      </c>
      <c r="G28" s="8">
        <f>IF(B28="","",C28*D28)</f>
        <v/>
      </c>
      <c r="H28" s="8">
        <f>IF(B28="","",C28*E28)</f>
        <v/>
      </c>
      <c r="I28" s="8">
        <f>IF(B28="","",H28-G28)</f>
        <v/>
      </c>
      <c r="J28" s="9" t="inlineStr"/>
    </row>
    <row r="29">
      <c r="A29" s="9" t="n">
        <v>3</v>
      </c>
      <c r="B29" s="6" t="inlineStr"/>
      <c r="C29" s="7" t="inlineStr"/>
      <c r="D29" s="8">
        <f>IF(B29="","",VLOOKUP(B29,'Master Data'!$A$27:$C$33,2,FALSE))</f>
        <v/>
      </c>
      <c r="E29" s="8">
        <f>IF(B29="","",VLOOKUP(B29,'Master Data'!$A$27:$C$33,3,FALSE))</f>
        <v/>
      </c>
      <c r="F29" s="8">
        <f>IF(B29="","",E29-D29)</f>
        <v/>
      </c>
      <c r="G29" s="8">
        <f>IF(B29="","",C29*D29)</f>
        <v/>
      </c>
      <c r="H29" s="8">
        <f>IF(B29="","",C29*E29)</f>
        <v/>
      </c>
      <c r="I29" s="8">
        <f>IF(B29="","",H29-G29)</f>
        <v/>
      </c>
      <c r="J29" s="9" t="inlineStr"/>
    </row>
    <row r="30">
      <c r="A30" s="21" t="inlineStr">
        <is>
          <t>SUBTOTAL</t>
        </is>
      </c>
      <c r="G30" s="11">
        <f>SUM(G27:G29)</f>
        <v/>
      </c>
      <c r="H30" s="11">
        <f>SUM(H27:H29)</f>
        <v/>
      </c>
      <c r="I30" s="11">
        <f>SUM(I27:I29)</f>
        <v/>
      </c>
      <c r="J30" s="9" t="inlineStr"/>
    </row>
    <row r="32">
      <c r="A32" s="3" t="inlineStr">
        <is>
          <t>🍽️ MEALS (1인 1끼)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>
      <c r="A33" s="5" t="inlineStr">
        <is>
          <t>#</t>
        </is>
      </c>
      <c r="B33" s="5" t="inlineStr">
        <is>
          <t>Item (Select ▼)</t>
        </is>
      </c>
      <c r="C33" s="5" t="inlineStr">
        <is>
          <t>Qty</t>
        </is>
      </c>
      <c r="D33" s="5" t="inlineStr">
        <is>
          <t>Cost/unit</t>
        </is>
      </c>
      <c r="E33" s="5" t="inlineStr">
        <is>
          <t>Sell/unit</t>
        </is>
      </c>
      <c r="F33" s="5" t="inlineStr">
        <is>
          <t>Margin/u</t>
        </is>
      </c>
      <c r="G33" s="5" t="inlineStr">
        <is>
          <t>Total Cost</t>
        </is>
      </c>
      <c r="H33" s="5" t="inlineStr">
        <is>
          <t>Total Sell</t>
        </is>
      </c>
      <c r="I33" s="5" t="inlineStr">
        <is>
          <t>Total Margin</t>
        </is>
      </c>
      <c r="J33" s="5" t="inlineStr">
        <is>
          <t>Notes</t>
        </is>
      </c>
    </row>
    <row r="34">
      <c r="A34" s="9" t="n">
        <v>1</v>
      </c>
      <c r="B34" s="6" t="inlineStr"/>
      <c r="C34" s="7" t="inlineStr"/>
      <c r="D34" s="8">
        <f>IF(B34="","",VLOOKUP(B34,'Master Data'!$A$37:$C$45,2,FALSE))</f>
        <v/>
      </c>
      <c r="E34" s="8">
        <f>IF(B34="","",VLOOKUP(B34,'Master Data'!$A$37:$C$45,3,FALSE))</f>
        <v/>
      </c>
      <c r="F34" s="8">
        <f>IF(B34="","",E34-D34)</f>
        <v/>
      </c>
      <c r="G34" s="8">
        <f>IF(B34="","",C34*D34)</f>
        <v/>
      </c>
      <c r="H34" s="8">
        <f>IF(B34="","",C34*E34)</f>
        <v/>
      </c>
      <c r="I34" s="8">
        <f>IF(B34="","",H34-G34)</f>
        <v/>
      </c>
      <c r="J34" s="9" t="inlineStr"/>
    </row>
    <row r="35">
      <c r="A35" s="9" t="n">
        <v>2</v>
      </c>
      <c r="B35" s="6" t="inlineStr"/>
      <c r="C35" s="7" t="inlineStr"/>
      <c r="D35" s="8">
        <f>IF(B35="","",VLOOKUP(B35,'Master Data'!$A$37:$C$45,2,FALSE))</f>
        <v/>
      </c>
      <c r="E35" s="8">
        <f>IF(B35="","",VLOOKUP(B35,'Master Data'!$A$37:$C$45,3,FALSE))</f>
        <v/>
      </c>
      <c r="F35" s="8">
        <f>IF(B35="","",E35-D35)</f>
        <v/>
      </c>
      <c r="G35" s="8">
        <f>IF(B35="","",C35*D35)</f>
        <v/>
      </c>
      <c r="H35" s="8">
        <f>IF(B35="","",C35*E35)</f>
        <v/>
      </c>
      <c r="I35" s="8">
        <f>IF(B35="","",H35-G35)</f>
        <v/>
      </c>
      <c r="J35" s="9" t="inlineStr"/>
    </row>
    <row r="36">
      <c r="A36" s="9" t="n">
        <v>3</v>
      </c>
      <c r="B36" s="6" t="inlineStr"/>
      <c r="C36" s="7" t="inlineStr"/>
      <c r="D36" s="8">
        <f>IF(B36="","",VLOOKUP(B36,'Master Data'!$A$37:$C$45,2,FALSE))</f>
        <v/>
      </c>
      <c r="E36" s="8">
        <f>IF(B36="","",VLOOKUP(B36,'Master Data'!$A$37:$C$45,3,FALSE))</f>
        <v/>
      </c>
      <c r="F36" s="8">
        <f>IF(B36="","",E36-D36)</f>
        <v/>
      </c>
      <c r="G36" s="8">
        <f>IF(B36="","",C36*D36)</f>
        <v/>
      </c>
      <c r="H36" s="8">
        <f>IF(B36="","",C36*E36)</f>
        <v/>
      </c>
      <c r="I36" s="8">
        <f>IF(B36="","",H36-G36)</f>
        <v/>
      </c>
      <c r="J36" s="9" t="inlineStr"/>
    </row>
    <row r="37">
      <c r="A37" s="9" t="n">
        <v>4</v>
      </c>
      <c r="B37" s="6" t="inlineStr"/>
      <c r="C37" s="7" t="inlineStr"/>
      <c r="D37" s="8">
        <f>IF(B37="","",VLOOKUP(B37,'Master Data'!$A$37:$C$45,2,FALSE))</f>
        <v/>
      </c>
      <c r="E37" s="8">
        <f>IF(B37="","",VLOOKUP(B37,'Master Data'!$A$37:$C$45,3,FALSE))</f>
        <v/>
      </c>
      <c r="F37" s="8">
        <f>IF(B37="","",E37-D37)</f>
        <v/>
      </c>
      <c r="G37" s="8">
        <f>IF(B37="","",C37*D37)</f>
        <v/>
      </c>
      <c r="H37" s="8">
        <f>IF(B37="","",C37*E37)</f>
        <v/>
      </c>
      <c r="I37" s="8">
        <f>IF(B37="","",H37-G37)</f>
        <v/>
      </c>
      <c r="J37" s="9" t="inlineStr"/>
    </row>
    <row r="38">
      <c r="A38" s="9" t="n">
        <v>5</v>
      </c>
      <c r="B38" s="6" t="inlineStr"/>
      <c r="C38" s="7" t="inlineStr"/>
      <c r="D38" s="8">
        <f>IF(B38="","",VLOOKUP(B38,'Master Data'!$A$37:$C$45,2,FALSE))</f>
        <v/>
      </c>
      <c r="E38" s="8">
        <f>IF(B38="","",VLOOKUP(B38,'Master Data'!$A$37:$C$45,3,FALSE))</f>
        <v/>
      </c>
      <c r="F38" s="8">
        <f>IF(B38="","",E38-D38)</f>
        <v/>
      </c>
      <c r="G38" s="8">
        <f>IF(B38="","",C38*D38)</f>
        <v/>
      </c>
      <c r="H38" s="8">
        <f>IF(B38="","",C38*E38)</f>
        <v/>
      </c>
      <c r="I38" s="8">
        <f>IF(B38="","",H38-G38)</f>
        <v/>
      </c>
      <c r="J38" s="9" t="inlineStr"/>
    </row>
    <row r="39">
      <c r="A39" s="21" t="inlineStr">
        <is>
          <t>SUBTOTAL</t>
        </is>
      </c>
      <c r="G39" s="11">
        <f>SUM(G34:G38)</f>
        <v/>
      </c>
      <c r="H39" s="11">
        <f>SUM(H34:H38)</f>
        <v/>
      </c>
      <c r="I39" s="11">
        <f>SUM(I34:I38)</f>
        <v/>
      </c>
      <c r="J39" s="9" t="inlineStr"/>
    </row>
    <row r="41">
      <c r="A41" s="3" t="inlineStr">
        <is>
          <t>📦 OTHER (1인 1일)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>
      <c r="A42" s="5" t="inlineStr">
        <is>
          <t>#</t>
        </is>
      </c>
      <c r="B42" s="5" t="inlineStr">
        <is>
          <t>Item (Select ▼)</t>
        </is>
      </c>
      <c r="C42" s="5" t="inlineStr">
        <is>
          <t>Qty</t>
        </is>
      </c>
      <c r="D42" s="5" t="inlineStr">
        <is>
          <t>Cost/unit</t>
        </is>
      </c>
      <c r="E42" s="5" t="inlineStr">
        <is>
          <t>Sell/unit</t>
        </is>
      </c>
      <c r="F42" s="5" t="inlineStr">
        <is>
          <t>Margin/u</t>
        </is>
      </c>
      <c r="G42" s="5" t="inlineStr">
        <is>
          <t>Total Cost</t>
        </is>
      </c>
      <c r="H42" s="5" t="inlineStr">
        <is>
          <t>Total Sell</t>
        </is>
      </c>
      <c r="I42" s="5" t="inlineStr">
        <is>
          <t>Total Margin</t>
        </is>
      </c>
      <c r="J42" s="5" t="inlineStr">
        <is>
          <t>Notes</t>
        </is>
      </c>
    </row>
    <row r="43">
      <c r="A43" s="9" t="n">
        <v>1</v>
      </c>
      <c r="B43" s="6" t="inlineStr"/>
      <c r="C43" s="7" t="inlineStr"/>
      <c r="D43" s="8">
        <f>IF(B43="","",VLOOKUP(B43,'Master Data'!$A$49:$C$54,2,FALSE))</f>
        <v/>
      </c>
      <c r="E43" s="8">
        <f>IF(B43="","",VLOOKUP(B43,'Master Data'!$A$49:$C$54,3,FALSE))</f>
        <v/>
      </c>
      <c r="F43" s="8">
        <f>IF(B43="","",E43-D43)</f>
        <v/>
      </c>
      <c r="G43" s="8">
        <f>IF(B43="","",C43*D43)</f>
        <v/>
      </c>
      <c r="H43" s="8">
        <f>IF(B43="","",C43*E43)</f>
        <v/>
      </c>
      <c r="I43" s="8">
        <f>IF(B43="","",H43-G43)</f>
        <v/>
      </c>
      <c r="J43" s="9" t="inlineStr"/>
    </row>
    <row r="44">
      <c r="A44" s="9" t="n">
        <v>2</v>
      </c>
      <c r="B44" s="6" t="inlineStr"/>
      <c r="C44" s="7" t="inlineStr"/>
      <c r="D44" s="8">
        <f>IF(B44="","",VLOOKUP(B44,'Master Data'!$A$49:$C$54,2,FALSE))</f>
        <v/>
      </c>
      <c r="E44" s="8">
        <f>IF(B44="","",VLOOKUP(B44,'Master Data'!$A$49:$C$54,3,FALSE))</f>
        <v/>
      </c>
      <c r="F44" s="8">
        <f>IF(B44="","",E44-D44)</f>
        <v/>
      </c>
      <c r="G44" s="8">
        <f>IF(B44="","",C44*D44)</f>
        <v/>
      </c>
      <c r="H44" s="8">
        <f>IF(B44="","",C44*E44)</f>
        <v/>
      </c>
      <c r="I44" s="8">
        <f>IF(B44="","",H44-G44)</f>
        <v/>
      </c>
      <c r="J44" s="9" t="inlineStr"/>
    </row>
    <row r="45">
      <c r="A45" s="9" t="n">
        <v>3</v>
      </c>
      <c r="B45" s="6" t="inlineStr"/>
      <c r="C45" s="7" t="inlineStr"/>
      <c r="D45" s="8">
        <f>IF(B45="","",VLOOKUP(B45,'Master Data'!$A$49:$C$54,2,FALSE))</f>
        <v/>
      </c>
      <c r="E45" s="8">
        <f>IF(B45="","",VLOOKUP(B45,'Master Data'!$A$49:$C$54,3,FALSE))</f>
        <v/>
      </c>
      <c r="F45" s="8">
        <f>IF(B45="","",E45-D45)</f>
        <v/>
      </c>
      <c r="G45" s="8">
        <f>IF(B45="","",C45*D45)</f>
        <v/>
      </c>
      <c r="H45" s="8">
        <f>IF(B45="","",C45*E45)</f>
        <v/>
      </c>
      <c r="I45" s="8">
        <f>IF(B45="","",H45-G45)</f>
        <v/>
      </c>
      <c r="J45" s="9" t="inlineStr"/>
    </row>
    <row r="46">
      <c r="A46" s="21" t="inlineStr">
        <is>
          <t>SUBTOTAL</t>
        </is>
      </c>
      <c r="G46" s="11">
        <f>SUM(G43:G45)</f>
        <v/>
      </c>
      <c r="H46" s="11">
        <f>SUM(H43:H45)</f>
        <v/>
      </c>
      <c r="I46" s="11">
        <f>SUM(I43:I45)</f>
        <v/>
      </c>
      <c r="J46" s="9" t="inlineStr"/>
    </row>
    <row r="48">
      <c r="A48" s="3" t="inlineStr">
        <is>
          <t>🏆 GRAND TOTAL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>
      <c r="A49" s="5" t="inlineStr">
        <is>
          <t>Category</t>
        </is>
      </c>
      <c r="B49" s="5" t="inlineStr"/>
      <c r="C49" s="5" t="inlineStr"/>
      <c r="D49" s="5" t="inlineStr"/>
      <c r="E49" s="5" t="inlineStr"/>
      <c r="F49" s="5" t="inlineStr"/>
      <c r="G49" s="5" t="inlineStr">
        <is>
          <t>Total Cost</t>
        </is>
      </c>
      <c r="H49" s="5" t="inlineStr">
        <is>
          <t>Total Sell</t>
        </is>
      </c>
      <c r="I49" s="5" t="inlineStr">
        <is>
          <t>Total Margin</t>
        </is>
      </c>
      <c r="J49" s="5" t="inlineStr">
        <is>
          <t>Margin%</t>
        </is>
      </c>
    </row>
    <row r="50">
      <c r="A50" s="21" t="inlineStr">
        <is>
          <t>GOLF</t>
        </is>
      </c>
      <c r="G50" s="8">
        <f>G16</f>
        <v/>
      </c>
      <c r="H50" s="8">
        <f>H16</f>
        <v/>
      </c>
      <c r="I50" s="8">
        <f>I16</f>
        <v/>
      </c>
      <c r="J50" s="22">
        <f>IF(H50&gt;0,I50/H50,0)</f>
        <v/>
      </c>
    </row>
    <row r="51">
      <c r="A51" s="21" t="inlineStr">
        <is>
          <t>HOTEL</t>
        </is>
      </c>
      <c r="G51" s="8">
        <f>G23</f>
        <v/>
      </c>
      <c r="H51" s="8">
        <f>H23</f>
        <v/>
      </c>
      <c r="I51" s="8">
        <f>I23</f>
        <v/>
      </c>
      <c r="J51" s="22">
        <f>IF(H51&gt;0,I51/H51,0)</f>
        <v/>
      </c>
    </row>
    <row r="52">
      <c r="A52" s="21" t="inlineStr">
        <is>
          <t>TRANSPORT</t>
        </is>
      </c>
      <c r="G52" s="8">
        <f>G30</f>
        <v/>
      </c>
      <c r="H52" s="8">
        <f>H30</f>
        <v/>
      </c>
      <c r="I52" s="8">
        <f>I30</f>
        <v/>
      </c>
      <c r="J52" s="22">
        <f>IF(H52&gt;0,I52/H52,0)</f>
        <v/>
      </c>
    </row>
    <row r="53">
      <c r="A53" s="21" t="inlineStr">
        <is>
          <t>MEALS</t>
        </is>
      </c>
      <c r="G53" s="8">
        <f>G39</f>
        <v/>
      </c>
      <c r="H53" s="8">
        <f>H39</f>
        <v/>
      </c>
      <c r="I53" s="8">
        <f>I39</f>
        <v/>
      </c>
      <c r="J53" s="22">
        <f>IF(H53&gt;0,I53/H53,0)</f>
        <v/>
      </c>
    </row>
    <row r="54">
      <c r="A54" s="21" t="inlineStr">
        <is>
          <t>OTHER</t>
        </is>
      </c>
      <c r="G54" s="8">
        <f>G46</f>
        <v/>
      </c>
      <c r="H54" s="8">
        <f>H46</f>
        <v/>
      </c>
      <c r="I54" s="8">
        <f>I46</f>
        <v/>
      </c>
      <c r="J54" s="22">
        <f>IF(H54&gt;0,I54/H54,0)</f>
        <v/>
      </c>
    </row>
    <row r="55">
      <c r="A55" s="23" t="inlineStr">
        <is>
          <t>📌 GRAND TOTAL</t>
        </is>
      </c>
      <c r="G55" s="24">
        <f>SUM(G50:G54)</f>
        <v/>
      </c>
      <c r="H55" s="24">
        <f>SUM(H50:H54)</f>
        <v/>
      </c>
      <c r="I55" s="24">
        <f>SUM(I50:I54)</f>
        <v/>
      </c>
      <c r="J55" s="25">
        <f>IF(H55&gt;0,I55/H55,0)</f>
        <v/>
      </c>
    </row>
    <row r="57">
      <c r="A57" s="3" t="inlineStr">
        <is>
          <t>👤 PER PERSON QUICK REFERENCE</t>
        </is>
      </c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>
      <c r="A58" s="15" t="inlineStr">
        <is>
          <t>Golfers:</t>
        </is>
      </c>
      <c r="B58" s="26">
        <f>F5</f>
        <v/>
      </c>
      <c r="C58" s="17" t="inlineStr">
        <is>
          <t>persons</t>
        </is>
      </c>
      <c r="E58" s="15" t="inlineStr">
        <is>
          <t>Per Person Total:</t>
        </is>
      </c>
      <c r="F58" s="27">
        <f>IF(F5&gt;0,H55/F5,0)</f>
        <v/>
      </c>
    </row>
    <row r="59">
      <c r="A59" s="15" t="inlineStr">
        <is>
          <t>Duration:</t>
        </is>
      </c>
      <c r="B59" s="9">
        <f>B6</f>
        <v/>
      </c>
      <c r="C59" s="28" t="inlineStr"/>
      <c r="E59" s="15" t="inlineStr">
        <is>
          <t>Per Person Cost:</t>
        </is>
      </c>
      <c r="F59" s="29">
        <f>IF(F5&gt;0,G55/F5,0)</f>
        <v/>
      </c>
    </row>
    <row r="60">
      <c r="E60" s="15" t="inlineStr">
        <is>
          <t>Per Person Margin:</t>
        </is>
      </c>
      <c r="F60" s="30">
        <f>IF(F5&gt;0,I55/F5,0)</f>
        <v/>
      </c>
    </row>
  </sheetData>
  <mergeCells count="21">
    <mergeCell ref="A16:F16"/>
    <mergeCell ref="A54:F54"/>
    <mergeCell ref="A32:J32"/>
    <mergeCell ref="A46:F46"/>
    <mergeCell ref="A4:J4"/>
    <mergeCell ref="A50:F50"/>
    <mergeCell ref="A55:F55"/>
    <mergeCell ref="A9:J9"/>
    <mergeCell ref="A23:F23"/>
    <mergeCell ref="A48:J48"/>
    <mergeCell ref="A53:F53"/>
    <mergeCell ref="A1:J1"/>
    <mergeCell ref="A52:F52"/>
    <mergeCell ref="B5:D5"/>
    <mergeCell ref="A30:F30"/>
    <mergeCell ref="A39:F39"/>
    <mergeCell ref="A25:J25"/>
    <mergeCell ref="A41:J41"/>
    <mergeCell ref="A51:F51"/>
    <mergeCell ref="A18:J18"/>
    <mergeCell ref="A57:J57"/>
  </mergeCells>
  <dataValidations count="7">
    <dataValidation sqref="F5" showDropDown="0" showInputMessage="0" showErrorMessage="0" allowBlank="0" type="list">
      <formula1>"2,4,6,8"</formula1>
    </dataValidation>
    <dataValidation sqref="B6" showDropDown="0" showInputMessage="0" showErrorMessage="0" allowBlank="0" type="list">
      <formula1>"3N4D,4N5D,5N6D,6N7D,7N8D,10N11D,12N13D"</formula1>
    </dataValidation>
    <dataValidation sqref="B11 B12 B13 B14 B15" showDropDown="0" showInputMessage="0" showErrorMessage="0" allowBlank="0" type="list">
      <formula1>'Master Data'!$A$7:$C$14</formula1>
    </dataValidation>
    <dataValidation sqref="B20 B21 B22" showDropDown="0" showInputMessage="0" showErrorMessage="0" allowBlank="0" type="list">
      <formula1>'Master Data'!$A$18:$C$23</formula1>
    </dataValidation>
    <dataValidation sqref="B27 B28 B29" showDropDown="0" showInputMessage="0" showErrorMessage="0" allowBlank="0" type="list">
      <formula1>'Master Data'!$A$27:$C$33</formula1>
    </dataValidation>
    <dataValidation sqref="B34 B35 B36 B37 B38" showDropDown="0" showInputMessage="0" showErrorMessage="0" allowBlank="0" type="list">
      <formula1>'Master Data'!$A$37:$C$45</formula1>
    </dataValidation>
    <dataValidation sqref="B43 B44 B45" showDropDown="0" showInputMessage="0" showErrorMessage="0" allowBlank="0" type="list">
      <formula1>'Master Data'!$A$49:$C$54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62828"/>
    <outlinePr summaryBelow="1" summaryRight="1"/>
    <pageSetUpPr/>
  </sheetPr>
  <dimension ref="A1:H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📊 PROFIT SUMMARY — Package Selector 결과 자동 반영</t>
        </is>
      </c>
    </row>
    <row r="2">
      <c r="A2" s="2" t="inlineStr">
        <is>
          <t>⬇️ 'Package Selector' 시트에서 선택한 항목에 따라 자동 업데이트</t>
        </is>
      </c>
    </row>
    <row r="4">
      <c r="A4" s="3" t="inlineStr">
        <is>
          <t>💰 PACKAGE PROFIT OVERVIEW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5" t="inlineStr">
        <is>
          <t>Category</t>
        </is>
      </c>
      <c r="B5" s="5" t="inlineStr">
        <is>
          <t>Total Cost</t>
        </is>
      </c>
      <c r="C5" s="5" t="inlineStr">
        <is>
          <t>Total Sell</t>
        </is>
      </c>
      <c r="D5" s="5" t="inlineStr">
        <is>
          <t>Total Margin</t>
        </is>
      </c>
      <c r="E5" s="5" t="inlineStr">
        <is>
          <t>Margin%</t>
        </is>
      </c>
      <c r="F5" s="5" t="inlineStr">
        <is>
          <t>Per Person Cost</t>
        </is>
      </c>
      <c r="G5" s="5" t="inlineStr">
        <is>
          <t>Per Person Sell</t>
        </is>
      </c>
      <c r="H5" s="5" t="inlineStr">
        <is>
          <t>Per Person Margin</t>
        </is>
      </c>
    </row>
    <row r="6">
      <c r="A6" s="9" t="inlineStr">
        <is>
          <t>GOLF</t>
        </is>
      </c>
      <c r="B6" s="8">
        <f>'Package Selector'!G16</f>
        <v/>
      </c>
      <c r="C6" s="8">
        <f>'Package Selector'!H16</f>
        <v/>
      </c>
      <c r="D6" s="8">
        <f>'Package Selector'!I16</f>
        <v/>
      </c>
      <c r="E6" s="22">
        <f>IF(C6&gt;0,D6/C6,0)</f>
        <v/>
      </c>
      <c r="F6" s="8">
        <f>IF('Package Selector'!F5&gt;0,B6/'Package Selector'!F5,0)</f>
        <v/>
      </c>
      <c r="G6" s="8">
        <f>IF('Package Selector'!F5&gt;0,C6/'Package Selector'!F5,0)</f>
        <v/>
      </c>
      <c r="H6" s="8">
        <f>IF('Package Selector'!F5&gt;0,D6/'Package Selector'!F5,0)</f>
        <v/>
      </c>
    </row>
    <row r="7">
      <c r="A7" s="9" t="inlineStr">
        <is>
          <t>HOTEL</t>
        </is>
      </c>
      <c r="B7" s="8">
        <f>'Package Selector'!G23</f>
        <v/>
      </c>
      <c r="C7" s="8">
        <f>'Package Selector'!H23</f>
        <v/>
      </c>
      <c r="D7" s="8">
        <f>'Package Selector'!I23</f>
        <v/>
      </c>
      <c r="E7" s="22">
        <f>IF(C7&gt;0,D7/C7,0)</f>
        <v/>
      </c>
      <c r="F7" s="8">
        <f>IF('Package Selector'!F5&gt;0,B7/'Package Selector'!F5,0)</f>
        <v/>
      </c>
      <c r="G7" s="8">
        <f>IF('Package Selector'!F5&gt;0,C7/'Package Selector'!F5,0)</f>
        <v/>
      </c>
      <c r="H7" s="8">
        <f>IF('Package Selector'!F5&gt;0,D7/'Package Selector'!F5,0)</f>
        <v/>
      </c>
    </row>
    <row r="8">
      <c r="A8" s="9" t="inlineStr">
        <is>
          <t>TRANSPORT</t>
        </is>
      </c>
      <c r="B8" s="8">
        <f>'Package Selector'!G30</f>
        <v/>
      </c>
      <c r="C8" s="8">
        <f>'Package Selector'!H30</f>
        <v/>
      </c>
      <c r="D8" s="8">
        <f>'Package Selector'!I30</f>
        <v/>
      </c>
      <c r="E8" s="22">
        <f>IF(C8&gt;0,D8/C8,0)</f>
        <v/>
      </c>
      <c r="F8" s="8">
        <f>IF('Package Selector'!F5&gt;0,B8/'Package Selector'!F5,0)</f>
        <v/>
      </c>
      <c r="G8" s="8">
        <f>IF('Package Selector'!F5&gt;0,C8/'Package Selector'!F5,0)</f>
        <v/>
      </c>
      <c r="H8" s="8">
        <f>IF('Package Selector'!F5&gt;0,D8/'Package Selector'!F5,0)</f>
        <v/>
      </c>
    </row>
    <row r="9">
      <c r="A9" s="9" t="inlineStr">
        <is>
          <t>MEALS</t>
        </is>
      </c>
      <c r="B9" s="8">
        <f>'Package Selector'!G39</f>
        <v/>
      </c>
      <c r="C9" s="8">
        <f>'Package Selector'!H39</f>
        <v/>
      </c>
      <c r="D9" s="8">
        <f>'Package Selector'!I39</f>
        <v/>
      </c>
      <c r="E9" s="22">
        <f>IF(C9&gt;0,D9/C9,0)</f>
        <v/>
      </c>
      <c r="F9" s="8">
        <f>IF('Package Selector'!F5&gt;0,B9/'Package Selector'!F5,0)</f>
        <v/>
      </c>
      <c r="G9" s="8">
        <f>IF('Package Selector'!F5&gt;0,C9/'Package Selector'!F5,0)</f>
        <v/>
      </c>
      <c r="H9" s="8">
        <f>IF('Package Selector'!F5&gt;0,D9/'Package Selector'!F5,0)</f>
        <v/>
      </c>
    </row>
    <row r="10">
      <c r="A10" s="9" t="inlineStr">
        <is>
          <t>OTHER</t>
        </is>
      </c>
      <c r="B10" s="8">
        <f>'Package Selector'!G46</f>
        <v/>
      </c>
      <c r="C10" s="8">
        <f>'Package Selector'!H46</f>
        <v/>
      </c>
      <c r="D10" s="8">
        <f>'Package Selector'!I46</f>
        <v/>
      </c>
      <c r="E10" s="22">
        <f>IF(C10&gt;0,D10/C10,0)</f>
        <v/>
      </c>
      <c r="F10" s="8">
        <f>IF('Package Selector'!F5&gt;0,B10/'Package Selector'!F5,0)</f>
        <v/>
      </c>
      <c r="G10" s="8">
        <f>IF('Package Selector'!F5&gt;0,C10/'Package Selector'!F5,0)</f>
        <v/>
      </c>
      <c r="H10" s="8">
        <f>IF('Package Selector'!F5&gt;0,D10/'Package Selector'!F5,0)</f>
        <v/>
      </c>
    </row>
    <row r="11">
      <c r="A11" s="31" t="inlineStr">
        <is>
          <t>📌 TOTAL</t>
        </is>
      </c>
      <c r="B11" s="24">
        <f>SUM(B6:B10)</f>
        <v/>
      </c>
      <c r="C11" s="24">
        <f>SUM(C6:C10)</f>
        <v/>
      </c>
      <c r="D11" s="24">
        <f>SUM(D6:D10)</f>
        <v/>
      </c>
      <c r="E11" s="25">
        <f>SUM(E6:E10)</f>
        <v/>
      </c>
      <c r="F11" s="24">
        <f>SUM(F6:F10)</f>
        <v/>
      </c>
      <c r="G11" s="24">
        <f>SUM(G6:G10)</f>
        <v/>
      </c>
      <c r="H11" s="24">
        <f>SUM(H6:H10)</f>
        <v/>
      </c>
    </row>
    <row r="13">
      <c r="A13" s="2" t="inlineStr">
        <is>
          <t>💡 'Package Selector' 시트에서 드롭다운으로 항목을 선택/변경하면 이 요약표가 자동으로 업데이트됩니다.</t>
        </is>
      </c>
    </row>
    <row r="14">
      <c r="A14" s="2" t="inlineStr">
        <is>
          <t>💡 마스터데이터 시트에서 가격을 수정하면 모든 시트에 즉시 반영됩니다.</t>
        </is>
      </c>
    </row>
  </sheetData>
  <mergeCells count="4">
    <mergeCell ref="A4:H4"/>
    <mergeCell ref="A13:H13"/>
    <mergeCell ref="A14:H1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2026-05-22T20:28:54Z</dcterms:created>
  <dcterms:modified xmlns:dcterms="http://purl.org/dc/terms/" xmlns:xsi="http://www.w3.org/2001/XMLSchema-instance" xsi:type="dcterms:W3CDTF">2026-05-22T20:28:54Z</dcterms:modified>
</cp:coreProperties>
</file>