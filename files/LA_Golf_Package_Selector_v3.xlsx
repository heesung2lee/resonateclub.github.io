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  <font>
      <name val="Calibri"/>
      <b val="1"/>
      <color rgb="001A3450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</fonts>
  <fills count="18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  <fill>
      <patternFill patternType="solid">
        <fgColor rgb="FFD4AF37"/>
        <bgColor rgb="FFD4AF37"/>
      </patternFill>
    </fill>
    <fill>
      <patternFill patternType="solid">
        <fgColor rgb="FF1A3450"/>
        <bgColor rgb="FF1A345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</fills>
  <borders count="2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</border>
    <border>
      <left/>
      <right/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  <xf numFmtId="0" fontId="4" fillId="4" borderId="17" applyAlignment="1" pivotButton="0" quotePrefix="0" xfId="0">
      <alignment horizontal="right" vertical="center" wrapText="1"/>
    </xf>
    <xf numFmtId="3" fontId="4" fillId="4" borderId="17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0" fillId="9" borderId="17" applyAlignment="1" pivotButton="0" quotePrefix="0" xfId="0">
      <alignment horizontal="center" vertical="center"/>
    </xf>
    <xf numFmtId="0" fontId="15" fillId="12" borderId="11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  <xf numFmtId="3" fontId="17" fillId="0" borderId="12" applyAlignment="1" pivotButton="0" quotePrefix="0" xfId="0">
      <alignment horizontal="center" vertical="center" wrapText="1"/>
    </xf>
    <xf numFmtId="164" fontId="17" fillId="0" borderId="12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17" fillId="14" borderId="12" applyAlignment="1" pivotButton="0" quotePrefix="0" xfId="0">
      <alignment horizontal="center" vertical="center" wrapText="1"/>
    </xf>
    <xf numFmtId="3" fontId="17" fillId="14" borderId="12" applyAlignment="1" pivotButton="0" quotePrefix="0" xfId="0">
      <alignment horizontal="center" vertical="center" wrapText="1"/>
    </xf>
    <xf numFmtId="3" fontId="17" fillId="15" borderId="12" applyAlignment="1" pivotButton="0" quotePrefix="0" xfId="0">
      <alignment horizontal="center" vertical="center" wrapText="1"/>
    </xf>
    <xf numFmtId="0" fontId="14" fillId="16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3" fontId="16" fillId="17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164" fontId="16" fillId="17" borderId="12" applyAlignment="1" pivotButton="0" quotePrefix="0" xfId="0">
      <alignment horizontal="center" vertical="center" wrapText="1"/>
    </xf>
    <xf numFmtId="0" fontId="0" fillId="0" borderId="2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37" t="inlineStr">
        <is>
          <t xml:space="preserve">    새 코스·호텔·편명 추가는 빈칸에 직접 입력 → 자동으로 드롭다운에 반영</t>
        </is>
      </c>
    </row>
    <row r="5">
      <c r="A5" s="31" t="inlineStr">
        <is>
          <t>⛳ GOLF COURSES (1인 1라운드, USD)</t>
        </is>
      </c>
      <c r="B5" s="44" t="n"/>
      <c r="C5" s="44" t="n"/>
      <c r="D5" s="44" t="n"/>
      <c r="E5" s="44" t="n"/>
      <c r="F5" s="44" t="n"/>
      <c r="G5" s="45" t="n"/>
    </row>
    <row r="6" ht="30.75" customHeight="1" s="42">
      <c r="A6" s="2" t="inlineStr">
        <is>
          <t>Course</t>
        </is>
      </c>
      <c r="B6" s="2" t="inlineStr">
        <is>
          <t>Cost ($)</t>
        </is>
      </c>
      <c r="C6" s="2" t="inlineStr">
        <is>
          <t>Sell ($)</t>
        </is>
      </c>
      <c r="D6" s="2" t="inlineStr">
        <is>
          <t>Margin ($)</t>
        </is>
      </c>
      <c r="E6" s="2" t="inlineStr">
        <is>
          <t>Replay Rate ($)</t>
        </is>
      </c>
      <c r="F6" s="2" t="inlineStr">
        <is>
          <t>Notes</t>
        </is>
      </c>
      <c r="G6" s="2" t="n"/>
    </row>
    <row r="7">
      <c r="A7" s="70" t="inlineStr">
        <is>
          <t>Trump National LA</t>
        </is>
      </c>
      <c r="B7" s="71" t="n">
        <v>210</v>
      </c>
      <c r="C7" s="71" t="n">
        <v>210</v>
      </c>
      <c r="D7" s="5">
        <f>IF(A7="","",C7-B7)</f>
        <v/>
      </c>
      <c r="E7" s="4" t="n">
        <v>111</v>
      </c>
      <c r="F7" s="6" t="inlineStr">
        <is>
          <t>Member guest | Cart incl. | Replay ~50%</t>
        </is>
      </c>
    </row>
    <row r="8">
      <c r="A8" s="70" t="inlineStr">
        <is>
          <t>Sandpiper GC</t>
        </is>
      </c>
      <c r="B8" s="71" t="n">
        <v>130</v>
      </c>
      <c r="C8" s="71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70" t="inlineStr">
        <is>
          <t>Hidden Valley GC</t>
        </is>
      </c>
      <c r="B9" s="71" t="n">
        <v>109</v>
      </c>
      <c r="C9" s="71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40" t="n"/>
      <c r="B12" s="4" t="n"/>
      <c r="C12" s="4" t="n"/>
      <c r="D12" s="5">
        <f>IF(A12="","",C12-B12)</f>
        <v/>
      </c>
      <c r="E12" s="4" t="n"/>
      <c r="F12" s="6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7">
      <c r="A17" s="31" t="inlineStr">
        <is>
          <t>🏨 HOTEL (1인 1박, Double Occupancy, USD)</t>
        </is>
      </c>
      <c r="B17" s="44" t="n"/>
      <c r="C17" s="44" t="n"/>
      <c r="D17" s="44" t="n"/>
      <c r="E17" s="44" t="n"/>
      <c r="F17" s="44" t="n"/>
      <c r="G17" s="45" t="n"/>
    </row>
    <row r="18">
      <c r="A18" s="2" t="inlineStr">
        <is>
          <t>Hotel</t>
        </is>
      </c>
      <c r="B18" s="2" t="inlineStr">
        <is>
          <t>Cost/night</t>
        </is>
      </c>
      <c r="C18" s="2" t="inlineStr">
        <is>
          <t>Sell/night</t>
        </is>
      </c>
      <c r="D18" s="2" t="inlineStr">
        <is>
          <t>Margin</t>
        </is>
      </c>
      <c r="E18" s="2" t="n"/>
      <c r="F18" s="2" t="inlineStr">
        <is>
          <t>Notes</t>
        </is>
      </c>
      <c r="G18" s="2" t="n"/>
    </row>
    <row r="19" ht="16.5" customHeight="1" s="42">
      <c r="A19" s="70" t="inlineStr">
        <is>
          <t>Beverly Wilshire (5★) / Same Tier</t>
        </is>
      </c>
      <c r="B19" s="71" t="n">
        <v>275</v>
      </c>
      <c r="C19" s="71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6">
      <c r="A26" s="31" t="inlineStr">
        <is>
          <t>🚐 TRANSPORT (1인 기준, 4인 1조, USD)</t>
        </is>
      </c>
      <c r="B26" s="44" t="n"/>
      <c r="C26" s="44" t="n"/>
      <c r="D26" s="44" t="n"/>
      <c r="E26" s="44" t="n"/>
      <c r="F26" s="44" t="n"/>
      <c r="G26" s="45" t="n"/>
    </row>
    <row r="27">
      <c r="A27" s="2" t="inlineStr">
        <is>
          <t>Item</t>
        </is>
      </c>
      <c r="B27" s="2" t="inlineStr">
        <is>
          <t>Cost/p</t>
        </is>
      </c>
      <c r="C27" s="2" t="inlineStr">
        <is>
          <t>Sell/p</t>
        </is>
      </c>
      <c r="D27" s="2" t="inlineStr">
        <is>
          <t>Margin</t>
        </is>
      </c>
      <c r="E27" s="2" t="n"/>
      <c r="F27" s="2" t="inlineStr">
        <is>
          <t>Notes</t>
        </is>
      </c>
      <c r="G27" s="2" t="n"/>
    </row>
    <row r="28" ht="16.5" customHeight="1" s="42">
      <c r="A28" s="70" t="inlineStr">
        <is>
          <t>Driver/Guide + Van (일당)</t>
        </is>
      </c>
      <c r="B28" s="71" t="n">
        <v>125</v>
      </c>
      <c r="C28" s="71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70" t="inlineStr">
        <is>
          <t>Airport Roundtrip Pickup</t>
        </is>
      </c>
      <c r="B29" s="71" t="n">
        <v>75</v>
      </c>
      <c r="C29" s="71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6">
      <c r="A36" s="31" t="inlineStr">
        <is>
          <t>🍽️ MEALS (1인 1끼, USD)</t>
        </is>
      </c>
      <c r="B36" s="44" t="n"/>
      <c r="C36" s="44" t="n"/>
      <c r="D36" s="44" t="n"/>
      <c r="E36" s="44" t="n"/>
      <c r="F36" s="44" t="n"/>
      <c r="G36" s="45" t="n"/>
    </row>
    <row r="37">
      <c r="A37" s="2" t="inlineStr">
        <is>
          <t>Meal</t>
        </is>
      </c>
      <c r="B37" s="2" t="inlineStr">
        <is>
          <t>Cost</t>
        </is>
      </c>
      <c r="C37" s="2" t="inlineStr">
        <is>
          <t>Sell</t>
        </is>
      </c>
      <c r="D37" s="2" t="inlineStr">
        <is>
          <t>Margin</t>
        </is>
      </c>
      <c r="E37" s="2" t="n"/>
      <c r="F37" s="2" t="inlineStr">
        <is>
          <t>Notes</t>
        </is>
      </c>
      <c r="G37" s="2" t="n"/>
    </row>
    <row r="38">
      <c r="A38" s="70" t="inlineStr">
        <is>
          <t>Breakfast (Hotel)</t>
        </is>
      </c>
      <c r="B38" s="71" t="n">
        <v>30</v>
      </c>
      <c r="C38" s="71" t="n">
        <v>45</v>
      </c>
      <c r="D38" s="5">
        <f>IF(A38="","",C38-B38)</f>
        <v/>
      </c>
      <c r="F38" s="6" t="inlineStr">
        <is>
          <t>Daily included</t>
        </is>
      </c>
    </row>
    <row r="39">
      <c r="A39" s="70" t="inlineStr">
        <is>
          <t>Lunch</t>
        </is>
      </c>
      <c r="B39" s="71" t="n">
        <v>40</v>
      </c>
      <c r="C39" s="71" t="n">
        <v>60</v>
      </c>
      <c r="D39" s="5">
        <f>IF(A39="","",C39-B39)</f>
        <v/>
      </c>
      <c r="F39" s="6" t="inlineStr">
        <is>
          <t>Daily included</t>
        </is>
      </c>
    </row>
    <row r="40">
      <c r="A40" s="70" t="inlineStr">
        <is>
          <t>Dinner (Regular)</t>
        </is>
      </c>
      <c r="B40" s="71" t="n">
        <v>80</v>
      </c>
      <c r="C40" s="71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70" t="inlineStr">
        <is>
          <t>Exclusive Dinner (Michelin/Fine)</t>
        </is>
      </c>
      <c r="B41" s="71" t="n">
        <v>120</v>
      </c>
      <c r="C41" s="71" t="n">
        <v>180</v>
      </c>
      <c r="D41" s="5">
        <f>IF(A41="","",C41-B41)</f>
        <v/>
      </c>
      <c r="F41" s="6" t="inlineStr">
        <is>
          <t>2x per trip</t>
        </is>
      </c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8">
      <c r="A48" s="31" t="inlineStr">
        <is>
          <t>📦 OTHER (1인 1일, USD)</t>
        </is>
      </c>
      <c r="B48" s="44" t="n"/>
      <c r="C48" s="44" t="n"/>
      <c r="D48" s="44" t="n"/>
      <c r="E48" s="44" t="n"/>
      <c r="F48" s="44" t="n"/>
      <c r="G48" s="45" t="n"/>
    </row>
    <row r="49">
      <c r="A49" s="2" t="inlineStr">
        <is>
          <t>Item</t>
        </is>
      </c>
      <c r="B49" s="2" t="inlineStr">
        <is>
          <t>Cost</t>
        </is>
      </c>
      <c r="C49" s="2" t="inlineStr">
        <is>
          <t>Sell</t>
        </is>
      </c>
      <c r="D49" s="2" t="inlineStr">
        <is>
          <t>Margin</t>
        </is>
      </c>
      <c r="E49" s="2" t="n"/>
      <c r="F49" s="2" t="inlineStr">
        <is>
          <t>Notes</t>
        </is>
      </c>
      <c r="G49" s="2" t="n"/>
    </row>
    <row r="50">
      <c r="A50" s="70" t="inlineStr">
        <is>
          <t>Insurance / Tips / Contingency</t>
        </is>
      </c>
      <c r="B50" s="71" t="n">
        <v>50</v>
      </c>
      <c r="C50" s="71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8">
      <c r="A58" s="31" t="inlineStr">
        <is>
          <t>✈️ FLIGHT SCHEDULE — ICN ↔ LAX (현지시간 기준)</t>
        </is>
      </c>
      <c r="B58" s="44" t="n"/>
      <c r="C58" s="44" t="n"/>
      <c r="D58" s="44" t="n"/>
      <c r="E58" s="44" t="n"/>
      <c r="F58" s="44" t="n"/>
      <c r="G58" s="45" t="n"/>
    </row>
    <row r="59" ht="34.5" customHeight="1" s="42">
      <c r="A59" s="2" t="inlineStr">
        <is>
          <t>Flight#</t>
        </is>
      </c>
      <c r="B59" s="2" t="inlineStr">
        <is>
          <t>Airline</t>
        </is>
      </c>
      <c r="C59" s="2" t="inlineStr">
        <is>
          <t>Dep Time (출발)</t>
        </is>
      </c>
      <c r="D59" s="2" t="inlineStr">
        <is>
          <t>Arr Time (도착)</t>
        </is>
      </c>
      <c r="E59" s="2" t="inlineStr">
        <is>
          <t>Direction</t>
        </is>
      </c>
      <c r="F59" s="2" t="inlineStr">
        <is>
          <t>Notes</t>
        </is>
      </c>
      <c r="G59" s="46" t="inlineStr">
        <is>
          <t>Seat Class</t>
        </is>
      </c>
      <c r="H59" s="46" t="inlineStr">
        <is>
          <t>Duration (hrs)</t>
        </is>
      </c>
      <c r="I59" s="46" t="inlineStr">
        <is>
          <t>Aircraft</t>
        </is>
      </c>
    </row>
    <row r="60">
      <c r="A60" s="70" t="inlineStr">
        <is>
          <t>KE011</t>
        </is>
      </c>
      <c r="B60" s="72" t="inlineStr">
        <is>
          <t>Korean Air</t>
        </is>
      </c>
      <c r="C60" s="72" t="inlineStr">
        <is>
          <t>19:40</t>
        </is>
      </c>
      <c r="D60" s="72" t="inlineStr">
        <is>
          <t>14:30</t>
        </is>
      </c>
      <c r="E60" s="72" t="inlineStr">
        <is>
          <t>ICN→LAX</t>
        </is>
      </c>
      <c r="F60" s="72" t="inlineStr">
        <is>
          <t>Daily B747-8</t>
        </is>
      </c>
      <c r="G60" s="73" t="inlineStr">
        <is>
          <t>First | Prestige | Economy</t>
        </is>
      </c>
      <c r="H60" s="73" t="inlineStr">
        <is>
          <t>~11.5</t>
        </is>
      </c>
      <c r="I60" s="73" t="inlineStr">
        <is>
          <t>B747-8</t>
        </is>
      </c>
    </row>
    <row r="61">
      <c r="A61" s="70" t="inlineStr">
        <is>
          <t>KE017</t>
        </is>
      </c>
      <c r="B61" s="72" t="inlineStr">
        <is>
          <t>Korean Air</t>
        </is>
      </c>
      <c r="C61" s="72" t="inlineStr">
        <is>
          <t>14:30</t>
        </is>
      </c>
      <c r="D61" s="72" t="inlineStr">
        <is>
          <t>09:20</t>
        </is>
      </c>
      <c r="E61" s="72" t="inlineStr">
        <is>
          <t>ICN→LAX</t>
        </is>
      </c>
      <c r="F61" s="72" t="inlineStr">
        <is>
          <t>Daily B777</t>
        </is>
      </c>
      <c r="G61" s="73" t="inlineStr">
        <is>
          <t>Prestige | Economy</t>
        </is>
      </c>
      <c r="H61" s="73" t="inlineStr">
        <is>
          <t>~11.5</t>
        </is>
      </c>
      <c r="I61" s="73" t="inlineStr">
        <is>
          <t>B777-300ER</t>
        </is>
      </c>
    </row>
    <row r="62">
      <c r="A62" s="70" t="inlineStr">
        <is>
          <t>OZ202</t>
        </is>
      </c>
      <c r="B62" s="72" t="inlineStr">
        <is>
          <t>Asiana</t>
        </is>
      </c>
      <c r="C62" s="72" t="inlineStr">
        <is>
          <t>14:40</t>
        </is>
      </c>
      <c r="D62" s="72" t="inlineStr">
        <is>
          <t>09:30</t>
        </is>
      </c>
      <c r="E62" s="72" t="inlineStr">
        <is>
          <t>ICN→LAX</t>
        </is>
      </c>
      <c r="F62" s="72" t="inlineStr">
        <is>
          <t>Daily A380</t>
        </is>
      </c>
      <c r="G62" s="73" t="inlineStr">
        <is>
          <t>First Suite | Business | Economy</t>
        </is>
      </c>
      <c r="H62" s="73" t="inlineStr">
        <is>
          <t>~11.5</t>
        </is>
      </c>
      <c r="I62" s="73" t="inlineStr">
        <is>
          <t>A380-800</t>
        </is>
      </c>
    </row>
    <row r="63">
      <c r="A63" s="70" t="inlineStr">
        <is>
          <t>OZ204</t>
        </is>
      </c>
      <c r="B63" s="72" t="inlineStr">
        <is>
          <t>Asiana</t>
        </is>
      </c>
      <c r="C63" s="72" t="inlineStr">
        <is>
          <t>20:40</t>
        </is>
      </c>
      <c r="D63" s="72" t="inlineStr">
        <is>
          <t>15:30</t>
        </is>
      </c>
      <c r="E63" s="72" t="inlineStr">
        <is>
          <t>ICN→LAX</t>
        </is>
      </c>
      <c r="F63" s="72" t="inlineStr">
        <is>
          <t>Daily A350</t>
        </is>
      </c>
      <c r="G63" s="73" t="inlineStr">
        <is>
          <t>Business | Economy</t>
        </is>
      </c>
      <c r="H63" s="73" t="inlineStr">
        <is>
          <t>~11.5</t>
        </is>
      </c>
      <c r="I63" s="73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72">
      <c r="A72" s="31" t="inlineStr">
        <is>
          <t>✈️ RETURN FLIGHTS (LAX → ICN)</t>
        </is>
      </c>
      <c r="B72" s="44" t="n"/>
      <c r="C72" s="44" t="n"/>
      <c r="D72" s="44" t="n"/>
      <c r="E72" s="44" t="n"/>
      <c r="F72" s="44" t="n"/>
      <c r="G72" s="45" t="n"/>
    </row>
    <row r="73" ht="34.5" customHeight="1" s="42">
      <c r="A73" s="2" t="inlineStr">
        <is>
          <t>Flight#</t>
        </is>
      </c>
      <c r="B73" s="2" t="inlineStr">
        <is>
          <t>Airline</t>
        </is>
      </c>
      <c r="C73" s="2" t="inlineStr">
        <is>
          <t>Dep Time (출발)</t>
        </is>
      </c>
      <c r="D73" s="2" t="inlineStr">
        <is>
          <t>Arr Time (도착)</t>
        </is>
      </c>
      <c r="E73" s="2" t="inlineStr">
        <is>
          <t>Direction</t>
        </is>
      </c>
      <c r="F73" s="2" t="inlineStr">
        <is>
          <t>Notes</t>
        </is>
      </c>
      <c r="G73" s="46" t="inlineStr">
        <is>
          <t>Seat Class</t>
        </is>
      </c>
      <c r="H73" s="46" t="inlineStr">
        <is>
          <t>Duration (hrs)</t>
        </is>
      </c>
      <c r="I73" s="46" t="inlineStr">
        <is>
          <t>Aircraft</t>
        </is>
      </c>
    </row>
    <row r="74">
      <c r="A74" s="70" t="inlineStr">
        <is>
          <t>KE012</t>
        </is>
      </c>
      <c r="B74" s="72" t="inlineStr">
        <is>
          <t>Korean Air</t>
        </is>
      </c>
      <c r="C74" s="72" t="inlineStr">
        <is>
          <t>23:50</t>
        </is>
      </c>
      <c r="D74" s="72" t="inlineStr">
        <is>
          <t>05:00+2</t>
        </is>
      </c>
      <c r="E74" s="72" t="inlineStr">
        <is>
          <t>LAX→ICN</t>
        </is>
      </c>
      <c r="F74" s="72" t="inlineStr">
        <is>
          <t xml:space="preserve">Daily B747-8 </t>
        </is>
      </c>
      <c r="G74" s="73" t="inlineStr">
        <is>
          <t>First | Prestige | Economy</t>
        </is>
      </c>
      <c r="H74" s="73" t="inlineStr">
        <is>
          <t>~13</t>
        </is>
      </c>
      <c r="I74" s="73" t="inlineStr">
        <is>
          <t>B747-8</t>
        </is>
      </c>
    </row>
    <row r="75">
      <c r="A75" s="70" t="inlineStr">
        <is>
          <t>KE018</t>
        </is>
      </c>
      <c r="B75" s="72" t="inlineStr">
        <is>
          <t>Korean Air</t>
        </is>
      </c>
      <c r="C75" s="72" t="inlineStr">
        <is>
          <t>13:30</t>
        </is>
      </c>
      <c r="D75" s="72" t="inlineStr">
        <is>
          <t>18:40+1</t>
        </is>
      </c>
      <c r="E75" s="72" t="inlineStr">
        <is>
          <t>LAX→ICN</t>
        </is>
      </c>
      <c r="F75" s="72" t="inlineStr">
        <is>
          <t>Daily B777</t>
        </is>
      </c>
      <c r="G75" s="73" t="inlineStr">
        <is>
          <t>Prestige | Economy</t>
        </is>
      </c>
      <c r="H75" s="73" t="inlineStr">
        <is>
          <t>~13</t>
        </is>
      </c>
      <c r="I75" s="73" t="inlineStr">
        <is>
          <t>B777-300ER</t>
        </is>
      </c>
    </row>
    <row r="76">
      <c r="A76" s="70" t="inlineStr">
        <is>
          <t>OZ201</t>
        </is>
      </c>
      <c r="B76" s="72" t="inlineStr">
        <is>
          <t>Asiana</t>
        </is>
      </c>
      <c r="C76" s="72" t="inlineStr">
        <is>
          <t>23:30</t>
        </is>
      </c>
      <c r="D76" s="72" t="inlineStr">
        <is>
          <t>04:30+2</t>
        </is>
      </c>
      <c r="E76" s="72" t="inlineStr">
        <is>
          <t>LAX→ICN</t>
        </is>
      </c>
      <c r="F76" s="72" t="inlineStr">
        <is>
          <t>Daily A380</t>
        </is>
      </c>
      <c r="G76" s="73" t="inlineStr">
        <is>
          <t>First Suite | Business | Economy</t>
        </is>
      </c>
      <c r="H76" s="73" t="inlineStr">
        <is>
          <t>~13</t>
        </is>
      </c>
      <c r="I76" s="73" t="inlineStr">
        <is>
          <t>A380-800</t>
        </is>
      </c>
    </row>
    <row r="77">
      <c r="A77" s="70" t="inlineStr">
        <is>
          <t>OZ203</t>
        </is>
      </c>
      <c r="B77" s="72" t="inlineStr">
        <is>
          <t>Asiana</t>
        </is>
      </c>
      <c r="C77" s="72" t="inlineStr">
        <is>
          <t>13:00</t>
        </is>
      </c>
      <c r="D77" s="72" t="inlineStr">
        <is>
          <t>18:10+1</t>
        </is>
      </c>
      <c r="E77" s="72" t="inlineStr">
        <is>
          <t>LAX→ICN</t>
        </is>
      </c>
      <c r="F77" s="72" t="inlineStr">
        <is>
          <t>Daily A350</t>
        </is>
      </c>
      <c r="G77" s="73" t="inlineStr">
        <is>
          <t>Business | Economy</t>
        </is>
      </c>
      <c r="H77" s="73" t="inlineStr">
        <is>
          <t>~13</t>
        </is>
      </c>
      <c r="I77" s="73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4">
      <c r="A84" s="48" t="inlineStr">
        <is>
          <t>🎯 ACTIVITIES &amp; EXPERIENCES (1인 1회, USD)</t>
        </is>
      </c>
    </row>
    <row r="85">
      <c r="A85" s="46" t="inlineStr">
        <is>
          <t>Activity</t>
        </is>
      </c>
      <c r="B85" s="46" t="inlineStr">
        <is>
          <t>Cost ($)</t>
        </is>
      </c>
      <c r="C85" s="46" t="inlineStr">
        <is>
          <t>Sell ($)</t>
        </is>
      </c>
      <c r="D85" s="46" t="inlineStr">
        <is>
          <t>Margin ($)</t>
        </is>
      </c>
      <c r="F85" s="46" t="inlineStr">
        <is>
          <t>Per Group?</t>
        </is>
      </c>
      <c r="G85" s="46" t="inlineStr">
        <is>
          <t>Notes</t>
        </is>
      </c>
    </row>
    <row r="86">
      <c r="A86" s="74" t="inlineStr">
        <is>
          <t>NBA/MLB Game (Ticket)</t>
        </is>
      </c>
      <c r="B86" s="75" t="n">
        <v>120</v>
      </c>
      <c r="C86" s="75" t="n">
        <v>180</v>
      </c>
      <c r="D86" s="51">
        <f>IF(A86="","",C86-B86)</f>
        <v/>
      </c>
      <c r="E86" s="49" t="n"/>
      <c r="F86" s="49" t="inlineStr">
        <is>
          <t>1p</t>
        </is>
      </c>
      <c r="G86" s="49" t="inlineStr">
        <is>
          <t>Seasonal; group rates available</t>
        </is>
      </c>
    </row>
    <row r="87">
      <c r="A87" s="74" t="inlineStr">
        <is>
          <t>Sports Bar Experience</t>
        </is>
      </c>
      <c r="B87" s="75" t="n">
        <v>60</v>
      </c>
      <c r="C87" s="75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74" t="inlineStr">
        <is>
          <t>Local Hiking (Griffith/Runyon)</t>
        </is>
      </c>
      <c r="B88" s="75" t="n">
        <v>0</v>
      </c>
      <c r="C88" s="75" t="n">
        <v>30</v>
      </c>
      <c r="D88" s="51">
        <f>IF(A88="","",C88-B88)</f>
        <v/>
      </c>
      <c r="E88" s="49" t="n"/>
      <c r="F88" s="49" t="inlineStr">
        <is>
          <t>1p</t>
        </is>
      </c>
      <c r="G88" s="49" t="inlineStr">
        <is>
          <t>Guided tour included</t>
        </is>
      </c>
    </row>
    <row r="89">
      <c r="A89" s="74" t="inlineStr">
        <is>
          <t>Beach/Surf Lesson</t>
        </is>
      </c>
      <c r="B89" s="75" t="n">
        <v>60</v>
      </c>
      <c r="C89" s="75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74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74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74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74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74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9">
    <mergeCell ref="A84:G84"/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N10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4" ht="16.5" customHeight="1" s="42">
      <c r="A4" s="76" t="inlineStr">
        <is>
          <t>No</t>
        </is>
      </c>
      <c r="B4" s="76" t="inlineStr">
        <is>
          <t>ID</t>
        </is>
      </c>
      <c r="C4" s="76" t="inlineStr">
        <is>
          <t>일정</t>
        </is>
      </c>
      <c r="D4" s="76" t="inlineStr">
        <is>
          <t>패키지명</t>
        </is>
      </c>
      <c r="E4" s="76" t="inlineStr">
        <is>
          <t>박</t>
        </is>
      </c>
      <c r="F4" s="76" t="inlineStr">
        <is>
          <t>일</t>
        </is>
      </c>
      <c r="G4" s="76" t="inlineStr">
        <is>
          <t>Rds</t>
        </is>
      </c>
      <c r="H4" s="76" t="inlineStr">
        <is>
          <t>코스구성</t>
        </is>
      </c>
      <c r="I4" s="77" t="inlineStr">
        <is>
          <t>⛳ 골프</t>
        </is>
      </c>
      <c r="J4" s="92" t="n"/>
      <c r="K4" s="77" t="inlineStr">
        <is>
          <t>🏨 호텔</t>
        </is>
      </c>
      <c r="L4" s="92" t="n"/>
      <c r="M4" s="76" t="inlineStr">
        <is>
          <t>마진</t>
        </is>
      </c>
      <c r="N4" s="76" t="inlineStr">
        <is>
          <t>마진율</t>
        </is>
      </c>
    </row>
    <row r="5" ht="51" customHeight="1" s="42">
      <c r="A5" s="78" t="n"/>
      <c r="B5" s="78" t="n"/>
      <c r="C5" s="78" t="n"/>
      <c r="D5" s="78" t="n"/>
      <c r="E5" s="78" t="n"/>
      <c r="F5" s="78" t="n"/>
      <c r="G5" s="78" t="n"/>
      <c r="H5" s="78" t="n"/>
      <c r="I5" s="78" t="inlineStr">
        <is>
          <t>Cost</t>
        </is>
      </c>
      <c r="J5" s="78" t="inlineStr">
        <is>
          <t>Sell</t>
        </is>
      </c>
      <c r="K5" s="78" t="inlineStr">
        <is>
          <t>Cost</t>
        </is>
      </c>
      <c r="L5" s="78" t="inlineStr">
        <is>
          <t>Sell</t>
        </is>
      </c>
      <c r="M5" s="78" t="n"/>
      <c r="N5" s="78" t="n"/>
    </row>
    <row r="6" ht="51" customHeight="1" s="42">
      <c r="A6" s="6" t="n">
        <v>1</v>
      </c>
      <c r="B6" s="7" t="inlineStr">
        <is>
          <t>S1</t>
        </is>
      </c>
      <c r="C6" s="6" t="inlineStr">
        <is>
          <t>3N4D</t>
        </is>
      </c>
      <c r="D6" s="6" t="inlineStr">
        <is>
          <t>트럼프 + 샌드파이퍼 오션뷰</t>
        </is>
      </c>
      <c r="E6" s="6" t="n">
        <v>3</v>
      </c>
      <c r="F6" s="6" t="n">
        <v>4</v>
      </c>
      <c r="G6" s="6" t="n">
        <v>2</v>
      </c>
      <c r="H6" s="6" t="inlineStr">
        <is>
          <t>Trump×1 + Sand×1</t>
        </is>
      </c>
      <c r="I6" s="5" t="n">
        <v>340</v>
      </c>
      <c r="J6" s="5" t="n">
        <v>745</v>
      </c>
      <c r="K6" s="5" t="n">
        <v>825</v>
      </c>
      <c r="L6" s="5" t="n">
        <v>1125</v>
      </c>
      <c r="M6" s="79">
        <f>J6+L6-I6-K6</f>
        <v/>
      </c>
      <c r="N6" s="80">
        <f>IF(J6+L6&gt;0,(J6+L6-I6-K6)/(J6+L6),0)</f>
        <v/>
      </c>
    </row>
    <row r="7" ht="34.5" customHeight="1" s="42">
      <c r="A7" s="6" t="n">
        <v>2</v>
      </c>
      <c r="B7" s="7" t="inlineStr">
        <is>
          <t>S2</t>
        </is>
      </c>
      <c r="C7" s="6" t="inlineStr">
        <is>
          <t>3N4D</t>
        </is>
      </c>
      <c r="D7" s="6" t="inlineStr">
        <is>
          <t>트럼프 + 히든밸리 밸리뷰</t>
        </is>
      </c>
      <c r="E7" s="6" t="n">
        <v>3</v>
      </c>
      <c r="F7" s="6" t="n">
        <v>4</v>
      </c>
      <c r="G7" s="6" t="n">
        <v>2</v>
      </c>
      <c r="H7" s="6" t="inlineStr">
        <is>
          <t>Trump×1 + HV×1</t>
        </is>
      </c>
      <c r="I7" s="5" t="n">
        <v>319</v>
      </c>
      <c r="J7" s="5" t="n">
        <v>609</v>
      </c>
      <c r="K7" s="5" t="n">
        <v>825</v>
      </c>
      <c r="L7" s="5" t="n">
        <v>1125</v>
      </c>
      <c r="M7" s="79">
        <f>J7+L7-I7-K7</f>
        <v/>
      </c>
      <c r="N7" s="80">
        <f>IF(J7+L7&gt;0,(J7+L7-I7-K7)/(J7+L7),0)</f>
        <v/>
      </c>
    </row>
    <row r="8">
      <c r="A8" s="6" t="n">
        <v>3</v>
      </c>
      <c r="B8" s="7" t="inlineStr">
        <is>
          <t>S3</t>
        </is>
      </c>
      <c r="C8" s="6" t="inlineStr">
        <is>
          <t>3N4D</t>
        </is>
      </c>
      <c r="D8" s="6" t="inlineStr">
        <is>
          <t>샌드파이퍼 + 히든밸리</t>
        </is>
      </c>
      <c r="E8" s="6" t="n">
        <v>3</v>
      </c>
      <c r="F8" s="6" t="n">
        <v>4</v>
      </c>
      <c r="G8" s="6" t="n">
        <v>2</v>
      </c>
      <c r="H8" s="6" t="inlineStr">
        <is>
          <t>Sand×1 + HV×1</t>
        </is>
      </c>
      <c r="I8" s="5" t="n">
        <v>239</v>
      </c>
      <c r="J8" s="5" t="n">
        <v>354</v>
      </c>
      <c r="K8" s="5" t="n">
        <v>825</v>
      </c>
      <c r="L8" s="5" t="n">
        <v>1125</v>
      </c>
      <c r="M8" s="79">
        <f>J8+L8-I8-K8</f>
        <v/>
      </c>
      <c r="N8" s="80">
        <f>IF(J8+L8&gt;0,(J8+L8-I8-K8)/(J8+L8),0)</f>
        <v/>
      </c>
    </row>
    <row r="9" ht="51" customHeight="1" s="42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A10" s="6" t="n">
        <v>4</v>
      </c>
      <c r="B10" s="7" t="inlineStr">
        <is>
          <t>M1</t>
        </is>
      </c>
      <c r="C10" s="6" t="inlineStr">
        <is>
          <t>5N7D</t>
        </is>
      </c>
      <c r="D10" s="6" t="inlineStr">
        <is>
          <t>트럼프+샌드+히든 3色 시그니처</t>
        </is>
      </c>
      <c r="E10" s="6" t="n">
        <v>5</v>
      </c>
      <c r="F10" s="6" t="n">
        <v>7</v>
      </c>
      <c r="G10" s="6" t="n">
        <v>3</v>
      </c>
      <c r="H10" s="6" t="inlineStr">
        <is>
          <t>Trump×1+Sand×1+HV×1</t>
        </is>
      </c>
      <c r="I10" s="5" t="n">
        <v>449</v>
      </c>
      <c r="J10" s="5" t="n">
        <v>854</v>
      </c>
      <c r="K10" s="5" t="n">
        <v>1375</v>
      </c>
      <c r="L10" s="5" t="n">
        <v>1875</v>
      </c>
      <c r="M10" s="79">
        <f>J10+L10-I10-K10</f>
        <v/>
      </c>
      <c r="N10" s="80">
        <f>IF(J10+L10&gt;0,(J10+L10-I10-K10)/(J10+L10),0)</f>
        <v/>
      </c>
    </row>
  </sheetData>
  <mergeCells count="3">
    <mergeCell ref="K4:L4"/>
    <mergeCell ref="I4:J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0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</row>
    <row r="2" s="42">
      <c r="A2" s="37" t="inlineStr">
        <is>
          <t>⬇️ 드롭다운 선택 → 가격 자동계산 → 항공편 연동 → 나만의 견적 완성!</t>
        </is>
      </c>
    </row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</row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</row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</row>
    <row r="15" ht="30.75" customHeight="1" s="42">
      <c r="A15" s="81" t="n">
        <v>1</v>
      </c>
      <c r="B15" s="82" t="inlineStr">
        <is>
          <t>Trump National LA</t>
        </is>
      </c>
      <c r="C15" s="83" t="n">
        <v>2</v>
      </c>
      <c r="D15" s="84">
        <f>IF(B15="","",VLOOKUP(B15,'Master Data'!$A$7:$C$14,2,FALSE))</f>
        <v/>
      </c>
      <c r="E15" s="84">
        <f>IF(B15="","",VLOOKUP(B15,'Master Data'!$A$7:$C$14,3,FALSE))</f>
        <v/>
      </c>
      <c r="F15" s="84">
        <f>IF(E15&lt;&gt;"",E15-D15,"")</f>
        <v/>
      </c>
      <c r="G15" s="84">
        <f>IF(B15="","",C15*D15)</f>
        <v/>
      </c>
      <c r="H15" s="84">
        <f>IF(B15="","",C15*E15)</f>
        <v/>
      </c>
      <c r="I15" s="84">
        <f>IF(H15&lt;&gt;"",H15-G15,"")</f>
        <v/>
      </c>
      <c r="J15" s="84">
        <f>IF(B15="","",IF(C15&gt;1,(C15-1)*VLOOKUP(B15,'Master Data'!$A$7:$E$14,5,FALSE),0))</f>
        <v/>
      </c>
      <c r="L15" s="6" t="inlineStr"/>
    </row>
    <row r="16" ht="30.75" customHeight="1" s="42">
      <c r="A16" s="81" t="n">
        <v>2</v>
      </c>
      <c r="B16" s="82" t="inlineStr">
        <is>
          <t>Sandpiper GC</t>
        </is>
      </c>
      <c r="C16" s="83" t="n">
        <v>2</v>
      </c>
      <c r="D16" s="84">
        <f>IF(B16="","",VLOOKUP(B16,'Master Data'!$A$7:$C$14,2,FALSE))</f>
        <v/>
      </c>
      <c r="E16" s="84">
        <f>IF(B16="","",VLOOKUP(B16,'Master Data'!$A$7:$C$14,3,FALSE))</f>
        <v/>
      </c>
      <c r="F16" s="84">
        <f>IF(E16&lt;&gt;"",E16-D16,"")</f>
        <v/>
      </c>
      <c r="G16" s="84">
        <f>IF(B16="","",C16*D16)</f>
        <v/>
      </c>
      <c r="H16" s="84">
        <f>IF(B16="","",C16*E16)</f>
        <v/>
      </c>
      <c r="I16" s="84">
        <f>IF(H16&lt;&gt;"",H16-G16,"")</f>
        <v/>
      </c>
      <c r="J16" s="84">
        <f>IF(B16="","",IF(C16&gt;1,(C16-1)*VLOOKUP(B16,'Master Data'!$A$7:$E$14,5,FALSE),0))</f>
        <v/>
      </c>
      <c r="L16" s="6" t="inlineStr"/>
    </row>
    <row r="17" ht="30.75" customHeight="1" s="42">
      <c r="A17" s="81" t="n">
        <v>3</v>
      </c>
      <c r="B17" s="82" t="inlineStr">
        <is>
          <t>Hidden Valley GC</t>
        </is>
      </c>
      <c r="C17" s="83" t="n">
        <v>1</v>
      </c>
      <c r="D17" s="84">
        <f>IF(B17="","",VLOOKUP(B17,'Master Data'!$A$7:$C$14,2,FALSE))</f>
        <v/>
      </c>
      <c r="E17" s="84">
        <f>IF(B17="","",VLOOKUP(B17,'Master Data'!$A$7:$C$14,3,FALSE))</f>
        <v/>
      </c>
      <c r="F17" s="84">
        <f>IF(E17&lt;&gt;"",E17-D17,"")</f>
        <v/>
      </c>
      <c r="G17" s="84">
        <f>IF(B17="","",C17*D17)</f>
        <v/>
      </c>
      <c r="H17" s="84">
        <f>IF(B17="","",C17*E17)</f>
        <v/>
      </c>
      <c r="I17" s="84">
        <f>IF(H17&lt;&gt;"",H17-G17,"")</f>
        <v/>
      </c>
      <c r="J17" s="84">
        <f>IF(B17="","",IF(C17&gt;1,(C17-1)*VLOOKUP(B17,'Master Data'!$A$7:$E$14,5,FALSE),0))</f>
        <v/>
      </c>
      <c r="L17" s="6" t="inlineStr"/>
    </row>
    <row r="18">
      <c r="A18" s="81" t="n">
        <v>4</v>
      </c>
      <c r="B18" s="82" t="n"/>
      <c r="C18" s="83" t="n"/>
      <c r="D18" s="84">
        <f>IF(B18="","",VLOOKUP(B18,'Master Data'!$A$7:$C$14,2,FALSE))</f>
        <v/>
      </c>
      <c r="E18" s="84">
        <f>IF(B18="","",VLOOKUP(B18,'Master Data'!$A$7:$C$14,3,FALSE))</f>
        <v/>
      </c>
      <c r="F18" s="84">
        <f>IF(E18&lt;&gt;"",E18-D18,"")</f>
        <v/>
      </c>
      <c r="G18" s="84">
        <f>IF(B18="","",C18*D18)</f>
        <v/>
      </c>
      <c r="H18" s="84">
        <f>IF(B18="","",C18*E18)</f>
        <v/>
      </c>
      <c r="I18" s="84">
        <f>IF(H18&lt;&gt;"",H18-G18,"")</f>
        <v/>
      </c>
      <c r="J18" s="84">
        <f>IF(B18="","",IF(C18&gt;1,(C18-1)*VLOOKUP(B18,'Master Data'!$A$7:$E$14,5,FALSE),0))</f>
        <v/>
      </c>
      <c r="L18" s="6" t="inlineStr"/>
    </row>
    <row r="19">
      <c r="A19" s="81" t="n">
        <v>5</v>
      </c>
      <c r="B19" s="82" t="n"/>
      <c r="C19" s="83" t="n"/>
      <c r="D19" s="84">
        <f>IF(B19="","",VLOOKUP(B19,'Master Data'!$A$7:$C$14,2,FALSE))</f>
        <v/>
      </c>
      <c r="E19" s="84">
        <f>IF(B19="","",VLOOKUP(B19,'Master Data'!$A$7:$C$14,3,FALSE))</f>
        <v/>
      </c>
      <c r="F19" s="84">
        <f>IF(E19&lt;&gt;"",E19-D19,"")</f>
        <v/>
      </c>
      <c r="G19" s="84">
        <f>IF(B19="","",C19*D19)</f>
        <v/>
      </c>
      <c r="H19" s="84">
        <f>IF(B19="","",C19*E19)</f>
        <v/>
      </c>
      <c r="I19" s="84">
        <f>IF(H19&lt;&gt;"",H19-G19,"")</f>
        <v/>
      </c>
      <c r="J19" s="84">
        <f>IF(B19="","",IF(C19&gt;1,(C19-1)*VLOOKUP(B19,'Master Data'!$A$7:$E$14,5,FALSE),0))</f>
        <v/>
      </c>
      <c r="L19" s="6" t="inlineStr"/>
    </row>
    <row r="20">
      <c r="A20" s="85" t="inlineStr">
        <is>
          <t>SUBTOTAL</t>
        </is>
      </c>
      <c r="B20" s="86" t="n"/>
      <c r="C20" s="86" t="n"/>
      <c r="D20" s="86" t="n"/>
      <c r="E20" s="86" t="n"/>
      <c r="F20" s="87" t="n"/>
      <c r="G20" s="88">
        <f>SUM(G15:G19)</f>
        <v/>
      </c>
      <c r="H20" s="88">
        <f>SUM(H15:H19)</f>
        <v/>
      </c>
      <c r="I20" s="88">
        <f>SUM(I15:I19)</f>
        <v/>
      </c>
      <c r="J20" s="88">
        <f>SUM(J15:J19)</f>
        <v/>
      </c>
      <c r="L20" s="6" t="inlineStr"/>
    </row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2" t="inlineStr">
        <is>
          <t>Replay</t>
        </is>
      </c>
      <c r="K23" s="52" t="inlineStr">
        <is>
          <t>Room Type</t>
        </is>
      </c>
      <c r="L23" s="53" t="inlineStr">
        <is>
          <t>Beds/Room</t>
        </is>
      </c>
    </row>
    <row r="24">
      <c r="A24" s="81" t="n">
        <v>1</v>
      </c>
      <c r="B24" s="82" t="inlineStr">
        <is>
          <t>Beverly Wilshire (5★) / Same Tier</t>
        </is>
      </c>
      <c r="C24" s="83" t="n">
        <v>3</v>
      </c>
      <c r="D24" s="84">
        <f>IF(B24="","",VLOOKUP(B24,'Master Data'!$A$19:$C$24,2,FALSE))</f>
        <v/>
      </c>
      <c r="E24" s="84">
        <f>IF(B24="","",VLOOKUP(B24,'Master Data'!$A$19:$C$24,3,FALSE))</f>
        <v/>
      </c>
      <c r="F24" s="84">
        <f>IF(E24&lt;&gt;"",E24-D24,"")</f>
        <v/>
      </c>
      <c r="G24" s="84">
        <f>IF(B24="","",C24*D24)</f>
        <v/>
      </c>
      <c r="H24" s="84">
        <f>IF(B24="","",C24*E24)</f>
        <v/>
      </c>
      <c r="I24" s="84">
        <f>IF(H24&lt;&gt;"",H24-G24,"")</f>
        <v/>
      </c>
      <c r="J24" s="79">
        <f>IF(B24="","",IF(C24&gt;1,(C24-1)*VLOOKUP(B24,'Master Data'!$A$19:$D$25,5,FALSE),0))</f>
        <v/>
      </c>
      <c r="K24" s="50" t="inlineStr">
        <is>
          <t>2인1실</t>
        </is>
      </c>
      <c r="L24" s="54" t="n">
        <v>2</v>
      </c>
    </row>
    <row r="25">
      <c r="A25" s="81" t="n">
        <v>2</v>
      </c>
      <c r="B25" s="82" t="n"/>
      <c r="C25" s="83" t="n"/>
      <c r="D25" s="84">
        <f>IF(B25="","",VLOOKUP(B25,'Master Data'!$A$19:$C$24,2,FALSE))</f>
        <v/>
      </c>
      <c r="E25" s="84">
        <f>IF(B25="","",VLOOKUP(B25,'Master Data'!$A$19:$C$24,3,FALSE))</f>
        <v/>
      </c>
      <c r="F25" s="84">
        <f>IF(E25&lt;&gt;"",E25-D25,"")</f>
        <v/>
      </c>
      <c r="G25" s="84">
        <f>IF(B25="","",C25*D25)</f>
        <v/>
      </c>
      <c r="H25" s="84">
        <f>IF(B25="","",C25*E25)</f>
        <v/>
      </c>
      <c r="I25" s="84">
        <f>IF(H25&lt;&gt;"",H25-G25,"")</f>
        <v/>
      </c>
      <c r="J25" s="79">
        <f>IF(B25="","",IF(C25&gt;1,(C25-1)*VLOOKUP(B25,'Master Data'!$A$19:$D$25,5,FALSE),0))</f>
        <v/>
      </c>
      <c r="K25" s="50" t="inlineStr">
        <is>
          <t>2인1실</t>
        </is>
      </c>
      <c r="L25" s="54" t="n">
        <v>2</v>
      </c>
    </row>
    <row r="26">
      <c r="A26" s="81" t="n">
        <v>3</v>
      </c>
      <c r="B26" s="82" t="n"/>
      <c r="C26" s="83" t="n"/>
      <c r="D26" s="84">
        <f>IF(B26="","",VLOOKUP(B26,'Master Data'!$A$19:$C$24,2,FALSE))</f>
        <v/>
      </c>
      <c r="E26" s="84">
        <f>IF(B26="","",VLOOKUP(B26,'Master Data'!$A$19:$C$24,3,FALSE))</f>
        <v/>
      </c>
      <c r="F26" s="84">
        <f>IF(E26&lt;&gt;"",E26-D26,"")</f>
        <v/>
      </c>
      <c r="G26" s="84">
        <f>IF(B26="","",C26*D26)</f>
        <v/>
      </c>
      <c r="H26" s="84">
        <f>IF(B26="","",C26*E26)</f>
        <v/>
      </c>
      <c r="I26" s="84">
        <f>IF(H26&lt;&gt;"",H26-G26,"")</f>
        <v/>
      </c>
      <c r="J26" s="79">
        <f>IF(B26="","",IF(C26&gt;1,(C26-1)*VLOOKUP(B26,'Master Data'!$A$19:$D$25,5,FALSE),0))</f>
        <v/>
      </c>
      <c r="K26" s="50" t="inlineStr">
        <is>
          <t>2인1실</t>
        </is>
      </c>
      <c r="L26" s="54" t="n">
        <v>2</v>
      </c>
    </row>
    <row r="27">
      <c r="A27" s="85" t="inlineStr">
        <is>
          <t>SUBTOTAL</t>
        </is>
      </c>
      <c r="B27" s="86" t="n"/>
      <c r="C27" s="86" t="n"/>
      <c r="D27" s="86" t="n"/>
      <c r="E27" s="86" t="n"/>
      <c r="F27" s="87" t="n"/>
      <c r="G27" s="88">
        <f>SUM(G24:G26)</f>
        <v/>
      </c>
      <c r="H27" s="88">
        <f>SUM(H24:H26)</f>
        <v/>
      </c>
      <c r="I27" s="88">
        <f>SUM(I24:I26)</f>
        <v/>
      </c>
      <c r="J27" s="8">
        <f>SUM(J24:J26)</f>
        <v/>
      </c>
      <c r="L27" s="6" t="inlineStr"/>
    </row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2" t="inlineStr">
        <is>
          <t>Replay</t>
        </is>
      </c>
      <c r="K30" s="52" t="inlineStr">
        <is>
          <t>Vehicle Type</t>
        </is>
      </c>
      <c r="L30" s="53" t="inlineStr">
        <is>
          <t>Pax Capacity</t>
        </is>
      </c>
    </row>
    <row r="31" ht="47.25" customHeight="1" s="42">
      <c r="A31" s="81" t="n">
        <v>1</v>
      </c>
      <c r="B31" s="82" t="inlineStr">
        <is>
          <t>Driver/Guide + Van (일당)</t>
        </is>
      </c>
      <c r="C31" s="83" t="n">
        <v>3</v>
      </c>
      <c r="D31" s="84">
        <f>IF(B31="","",VLOOKUP(B31,'Master Data'!$A$28:$C$34,2,FALSE))</f>
        <v/>
      </c>
      <c r="E31" s="84">
        <f>IF(B31="","",VLOOKUP(B31,'Master Data'!$A$28:$C$34,3,FALSE))</f>
        <v/>
      </c>
      <c r="F31" s="84">
        <f>IF(E31&lt;&gt;"",E31-D31,"")</f>
        <v/>
      </c>
      <c r="G31" s="84">
        <f>IF(B31="","",C31*D31)</f>
        <v/>
      </c>
      <c r="H31" s="84">
        <f>IF(B31="","",C31*E31)</f>
        <v/>
      </c>
      <c r="I31" s="84">
        <f>IF(H31&lt;&gt;"",H31-G31,"")</f>
        <v/>
      </c>
      <c r="J31" s="79">
        <f>IF(B31="","",IF(C31&gt;1,(C31-1)*VLOOKUP(B31,'Master Data'!$A$28:$D$34,5,FALSE),0))</f>
        <v/>
      </c>
      <c r="K31" s="50" t="inlineStr">
        <is>
          <t>Full-size Van</t>
        </is>
      </c>
      <c r="L31" s="55" t="inlineStr">
        <is>
          <t>7-8</t>
        </is>
      </c>
    </row>
    <row r="32">
      <c r="A32" s="81" t="n">
        <v>2</v>
      </c>
      <c r="B32" s="82" t="n"/>
      <c r="C32" s="83" t="n"/>
      <c r="D32" s="84">
        <f>IF(B32="","",VLOOKUP(B32,'Master Data'!$A$28:$C$34,2,FALSE))</f>
        <v/>
      </c>
      <c r="E32" s="84">
        <f>IF(B32="","",VLOOKUP(B32,'Master Data'!$A$28:$C$34,3,FALSE))</f>
        <v/>
      </c>
      <c r="F32" s="84">
        <f>IF(E32&lt;&gt;"",E32-D32,"")</f>
        <v/>
      </c>
      <c r="G32" s="84">
        <f>IF(B32="","",C32*D32)</f>
        <v/>
      </c>
      <c r="H32" s="84">
        <f>IF(B32="","",C32*E32)</f>
        <v/>
      </c>
      <c r="I32" s="84">
        <f>IF(H32&lt;&gt;"",H32-G32,"")</f>
        <v/>
      </c>
      <c r="J32" s="79">
        <f>IF(B32="","",IF(C32&gt;1,(C32-1)*VLOOKUP(B32,'Master Data'!$A$28:$D$34,5,FALSE),0))</f>
        <v/>
      </c>
      <c r="K32" s="50" t="inlineStr"/>
      <c r="L32" s="55" t="inlineStr"/>
    </row>
    <row r="33">
      <c r="A33" s="81" t="n">
        <v>3</v>
      </c>
      <c r="B33" s="82" t="n"/>
      <c r="C33" s="83" t="n"/>
      <c r="D33" s="84">
        <f>IF(B33="","",VLOOKUP(B33,'Master Data'!$A$28:$C$34,2,FALSE))</f>
        <v/>
      </c>
      <c r="E33" s="84">
        <f>IF(B33="","",VLOOKUP(B33,'Master Data'!$A$28:$C$34,3,FALSE))</f>
        <v/>
      </c>
      <c r="F33" s="84">
        <f>IF(E33&lt;&gt;"",E33-D33,"")</f>
        <v/>
      </c>
      <c r="G33" s="84">
        <f>IF(B33="","",C33*D33)</f>
        <v/>
      </c>
      <c r="H33" s="84">
        <f>IF(B33="","",C33*E33)</f>
        <v/>
      </c>
      <c r="I33" s="84">
        <f>IF(H33&lt;&gt;"",H33-G33,"")</f>
        <v/>
      </c>
      <c r="J33" s="79">
        <f>IF(B33="","",IF(C33&gt;1,(C33-1)*VLOOKUP(B33,'Master Data'!$A$28:$D$34,5,FALSE),0))</f>
        <v/>
      </c>
      <c r="K33" s="50" t="inlineStr"/>
      <c r="L33" s="55" t="inlineStr"/>
    </row>
    <row r="34">
      <c r="A34" s="85" t="inlineStr">
        <is>
          <t>SUBTOTAL</t>
        </is>
      </c>
      <c r="B34" s="86" t="n"/>
      <c r="C34" s="86" t="n"/>
      <c r="D34" s="86" t="n"/>
      <c r="E34" s="86" t="n"/>
      <c r="F34" s="87" t="n"/>
      <c r="G34" s="88">
        <f>SUM(G31:G33)</f>
        <v/>
      </c>
      <c r="H34" s="88">
        <f>SUM(H31:H33)</f>
        <v/>
      </c>
      <c r="I34" s="88">
        <f>SUM(I31:I33)</f>
        <v/>
      </c>
      <c r="J34" s="8">
        <f>SUM(J31:J33)</f>
        <v/>
      </c>
      <c r="K34" s="50" t="inlineStr"/>
      <c r="L34" s="55" t="inlineStr"/>
    </row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2" t="inlineStr">
        <is>
          <t>Replay</t>
        </is>
      </c>
      <c r="K37" s="2" t="inlineStr"/>
      <c r="L37" s="2" t="inlineStr"/>
    </row>
    <row r="38">
      <c r="A38" s="81" t="n">
        <v>1</v>
      </c>
      <c r="B38" s="82" t="inlineStr">
        <is>
          <t>Breakfast (Hotel)</t>
        </is>
      </c>
      <c r="C38" s="83" t="n">
        <v>3</v>
      </c>
      <c r="D38" s="84">
        <f>IF(B38="","",VLOOKUP(B38,'Master Data'!$A$38:$C$46,2,FALSE))</f>
        <v/>
      </c>
      <c r="E38" s="84">
        <f>IF(B38="","",VLOOKUP(B38,'Master Data'!$A$38:$C$46,3,FALSE))</f>
        <v/>
      </c>
      <c r="F38" s="84">
        <f>IF(E38&lt;&gt;"",E38-D38,"")</f>
        <v/>
      </c>
      <c r="G38" s="84">
        <f>IF(B38="","",C38*D38)</f>
        <v/>
      </c>
      <c r="H38" s="84">
        <f>IF(B38="","",C38*E38)</f>
        <v/>
      </c>
      <c r="I38" s="84">
        <f>IF(H38&lt;&gt;"",H38-G38,"")</f>
        <v/>
      </c>
      <c r="J38" s="79">
        <f>IF(B38="","",IF(C38&gt;1,(C38-1)*VLOOKUP(B38,'Master Data'!$A$38:$D$46,5,FALSE),0))</f>
        <v/>
      </c>
      <c r="L38" s="6" t="inlineStr"/>
    </row>
    <row r="39">
      <c r="A39" s="81" t="n">
        <v>2</v>
      </c>
      <c r="B39" s="82" t="inlineStr">
        <is>
          <t>Lunch</t>
        </is>
      </c>
      <c r="C39" s="83" t="n">
        <v>3</v>
      </c>
      <c r="D39" s="84">
        <f>IF(B39="","",VLOOKUP(B39,'Master Data'!$A$38:$C$46,2,FALSE))</f>
        <v/>
      </c>
      <c r="E39" s="84">
        <f>IF(B39="","",VLOOKUP(B39,'Master Data'!$A$38:$C$46,3,FALSE))</f>
        <v/>
      </c>
      <c r="F39" s="84">
        <f>IF(E39&lt;&gt;"",E39-D39,"")</f>
        <v/>
      </c>
      <c r="G39" s="84">
        <f>IF(B39="","",C39*D39)</f>
        <v/>
      </c>
      <c r="H39" s="84">
        <f>IF(B39="","",C39*E39)</f>
        <v/>
      </c>
      <c r="I39" s="84">
        <f>IF(H39&lt;&gt;"",H39-G39,"")</f>
        <v/>
      </c>
      <c r="J39" s="79">
        <f>IF(B39="","",IF(C39&gt;1,(C39-1)*VLOOKUP(B39,'Master Data'!$A$38:$D$46,5,FALSE),0))</f>
        <v/>
      </c>
      <c r="L39" s="6" t="inlineStr"/>
    </row>
    <row r="40">
      <c r="A40" s="81" t="n">
        <v>3</v>
      </c>
      <c r="B40" s="82" t="inlineStr">
        <is>
          <t>Dinner (Regular)</t>
        </is>
      </c>
      <c r="C40" s="83" t="n">
        <v>3</v>
      </c>
      <c r="D40" s="84">
        <f>IF(B40="","",VLOOKUP(B40,'Master Data'!$A$38:$C$46,2,FALSE))</f>
        <v/>
      </c>
      <c r="E40" s="84">
        <f>IF(B40="","",VLOOKUP(B40,'Master Data'!$A$38:$C$46,3,FALSE))</f>
        <v/>
      </c>
      <c r="F40" s="84">
        <f>IF(E40&lt;&gt;"",E40-D40,"")</f>
        <v/>
      </c>
      <c r="G40" s="84">
        <f>IF(B40="","",C40*D40)</f>
        <v/>
      </c>
      <c r="H40" s="84">
        <f>IF(B40="","",C40*E40)</f>
        <v/>
      </c>
      <c r="I40" s="84">
        <f>IF(H40&lt;&gt;"",H40-G40,"")</f>
        <v/>
      </c>
      <c r="J40" s="79">
        <f>IF(B40="","",IF(C40&gt;1,(C40-1)*VLOOKUP(B40,'Master Data'!$A$38:$D$46,5,FALSE),0))</f>
        <v/>
      </c>
      <c r="L40" s="6" t="inlineStr"/>
    </row>
    <row r="41">
      <c r="A41" s="81" t="n">
        <v>4</v>
      </c>
      <c r="B41" s="82" t="inlineStr">
        <is>
          <t>Exclusive Dinner (Michelin/Fine)</t>
        </is>
      </c>
      <c r="C41" s="83" t="n">
        <v>2</v>
      </c>
      <c r="D41" s="84">
        <f>IF(B41="","",VLOOKUP(B41,'Master Data'!$A$38:$C$46,2,FALSE))</f>
        <v/>
      </c>
      <c r="E41" s="84">
        <f>IF(B41="","",VLOOKUP(B41,'Master Data'!$A$38:$C$46,3,FALSE))</f>
        <v/>
      </c>
      <c r="F41" s="84">
        <f>IF(E41&lt;&gt;"",E41-D41,"")</f>
        <v/>
      </c>
      <c r="G41" s="84">
        <f>IF(B41="","",C41*D41)</f>
        <v/>
      </c>
      <c r="H41" s="84">
        <f>IF(B41="","",C41*E41)</f>
        <v/>
      </c>
      <c r="I41" s="84">
        <f>IF(H41&lt;&gt;"",H41-G41,"")</f>
        <v/>
      </c>
      <c r="J41" s="79">
        <f>IF(B41="","",IF(C41&gt;1,(C41-1)*VLOOKUP(B41,'Master Data'!$A$38:$D$46,5,FALSE),0))</f>
        <v/>
      </c>
      <c r="L41" s="6" t="inlineStr"/>
    </row>
    <row r="42">
      <c r="A42" s="81" t="n">
        <v>5</v>
      </c>
      <c r="B42" s="82" t="n"/>
      <c r="C42" s="83" t="n"/>
      <c r="D42" s="84">
        <f>IF(B42="","",VLOOKUP(B42,'Master Data'!$A$38:$C$46,2,FALSE))</f>
        <v/>
      </c>
      <c r="E42" s="84">
        <f>IF(B42="","",VLOOKUP(B42,'Master Data'!$A$38:$C$46,3,FALSE))</f>
        <v/>
      </c>
      <c r="F42" s="84">
        <f>IF(E42&lt;&gt;"",E42-D42,"")</f>
        <v/>
      </c>
      <c r="G42" s="84">
        <f>IF(B42="","",C42*D42)</f>
        <v/>
      </c>
      <c r="H42" s="84">
        <f>IF(B42="","",C42*E42)</f>
        <v/>
      </c>
      <c r="I42" s="84">
        <f>IF(H42&lt;&gt;"",H42-G42,"")</f>
        <v/>
      </c>
      <c r="J42" s="79">
        <f>IF(B42="","",IF(C42&gt;1,(C42-1)*VLOOKUP(B42,'Master Data'!$A$38:$D$46,5,FALSE),0))</f>
        <v/>
      </c>
      <c r="L42" s="6" t="inlineStr"/>
    </row>
    <row r="43">
      <c r="A43" s="85" t="inlineStr">
        <is>
          <t>SUBTOTAL</t>
        </is>
      </c>
      <c r="B43" s="86" t="n"/>
      <c r="C43" s="86" t="n"/>
      <c r="D43" s="86" t="n"/>
      <c r="E43" s="86" t="n"/>
      <c r="F43" s="87" t="n"/>
      <c r="G43" s="88">
        <f>SUM(G38:G42)</f>
        <v/>
      </c>
      <c r="H43" s="88">
        <f>SUM(H38:H42)</f>
        <v/>
      </c>
      <c r="I43" s="88">
        <f>SUM(I38:I42)</f>
        <v/>
      </c>
      <c r="J43" s="8">
        <f>SUM(J38:J42)</f>
        <v/>
      </c>
      <c r="L43" s="6" t="inlineStr"/>
    </row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2" t="inlineStr">
        <is>
          <t>Replay</t>
        </is>
      </c>
      <c r="K46" s="2" t="inlineStr"/>
      <c r="L46" s="2" t="inlineStr"/>
    </row>
    <row r="47">
      <c r="A47" s="81" t="n">
        <v>1</v>
      </c>
      <c r="B47" s="82" t="inlineStr">
        <is>
          <t>Insurance / Tips / Contingency</t>
        </is>
      </c>
      <c r="C47" s="83" t="n">
        <v>4</v>
      </c>
      <c r="D47" s="84">
        <f>IF(B47="","",VLOOKUP(B47,'Master Data'!$A$50:$C$56,2,FALSE))</f>
        <v/>
      </c>
      <c r="E47" s="84">
        <f>IF(B47="","",VLOOKUP(B47,'Master Data'!$A$50:$C$56,3,FALSE))</f>
        <v/>
      </c>
      <c r="F47" s="84">
        <f>IF(E47&lt;&gt;"",E47-D47,"")</f>
        <v/>
      </c>
      <c r="G47" s="84">
        <f>IF(B47="","",C47*D47)</f>
        <v/>
      </c>
      <c r="H47" s="84">
        <f>IF(B47="","",C47*E47)</f>
        <v/>
      </c>
      <c r="I47" s="84">
        <f>IF(H47&lt;&gt;"",H47-G47,"")</f>
        <v/>
      </c>
      <c r="J47" s="79">
        <f>IF(B47="","",IF(C47&gt;1,(C47-1)*VLOOKUP(B47,'Master Data'!$A$50:$D$56,5,FALSE),0))</f>
        <v/>
      </c>
      <c r="L47" s="6" t="inlineStr"/>
    </row>
    <row r="48">
      <c r="A48" s="81" t="n">
        <v>2</v>
      </c>
      <c r="B48" s="82" t="n"/>
      <c r="C48" s="83" t="n"/>
      <c r="D48" s="84">
        <f>IF(B48="","",VLOOKUP(B48,'Master Data'!$A$50:$C$56,2,FALSE))</f>
        <v/>
      </c>
      <c r="E48" s="84">
        <f>IF(B48="","",VLOOKUP(B48,'Master Data'!$A$50:$C$56,3,FALSE))</f>
        <v/>
      </c>
      <c r="F48" s="84">
        <f>IF(E48&lt;&gt;"",E48-D48,"")</f>
        <v/>
      </c>
      <c r="G48" s="84">
        <f>IF(B48="","",C48*D48)</f>
        <v/>
      </c>
      <c r="H48" s="84">
        <f>IF(B48="","",C48*E48)</f>
        <v/>
      </c>
      <c r="I48" s="84">
        <f>IF(H48&lt;&gt;"",H48-G48,"")</f>
        <v/>
      </c>
      <c r="J48" s="79">
        <f>IF(B48="","",IF(C48&gt;1,(C48-1)*VLOOKUP(B48,'Master Data'!$A$50:$D$56,5,FALSE),0))</f>
        <v/>
      </c>
      <c r="L48" s="6" t="inlineStr"/>
    </row>
    <row r="49">
      <c r="A49" s="81" t="n">
        <v>3</v>
      </c>
      <c r="B49" s="82" t="n"/>
      <c r="C49" s="83" t="n"/>
      <c r="D49" s="84">
        <f>IF(B49="","",VLOOKUP(B49,'Master Data'!$A$50:$C$56,2,FALSE))</f>
        <v/>
      </c>
      <c r="E49" s="84">
        <f>IF(B49="","",VLOOKUP(B49,'Master Data'!$A$50:$C$56,3,FALSE))</f>
        <v/>
      </c>
      <c r="F49" s="84">
        <f>IF(E49&lt;&gt;"",E49-D49,"")</f>
        <v/>
      </c>
      <c r="G49" s="84">
        <f>IF(B49="","",C49*D49)</f>
        <v/>
      </c>
      <c r="H49" s="84">
        <f>IF(B49="","",C49*E49)</f>
        <v/>
      </c>
      <c r="I49" s="84">
        <f>IF(H49&lt;&gt;"",H49-G49,"")</f>
        <v/>
      </c>
      <c r="J49" s="79">
        <f>IF(B49="","",IF(C49&gt;1,(C49-1)*VLOOKUP(B49,'Master Data'!$A$50:$D$56,5,FALSE),0))</f>
        <v/>
      </c>
      <c r="L49" s="6" t="inlineStr"/>
    </row>
    <row r="50">
      <c r="A50" s="85" t="inlineStr">
        <is>
          <t>SUBTOTAL</t>
        </is>
      </c>
      <c r="B50" s="86" t="n"/>
      <c r="C50" s="86" t="n"/>
      <c r="D50" s="86" t="n"/>
      <c r="E50" s="86" t="n"/>
      <c r="F50" s="87" t="n"/>
      <c r="G50" s="88">
        <f>SUM(G47:G49)</f>
        <v/>
      </c>
      <c r="H50" s="88">
        <f>SUM(H47:H49)</f>
        <v/>
      </c>
      <c r="I50" s="88">
        <f>SUM(I47:I49)</f>
        <v/>
      </c>
      <c r="J50" s="8">
        <f>SUM(J47:J49)</f>
        <v/>
      </c>
      <c r="L50" s="6" t="inlineStr"/>
    </row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52" t="inlineStr">
        <is>
          <t>Per Group</t>
        </is>
      </c>
      <c r="K53" s="52" t="inlineStr">
        <is>
          <t>Group Size</t>
        </is>
      </c>
      <c r="L53" s="52" t="inlineStr">
        <is>
          <t>Notes</t>
        </is>
      </c>
    </row>
    <row r="54">
      <c r="A54" s="81" t="n">
        <v>1</v>
      </c>
      <c r="B54" s="82" t="inlineStr">
        <is>
          <t>NBA/MLB Game (Ticket)</t>
        </is>
      </c>
      <c r="C54" s="83" t="n">
        <v>1</v>
      </c>
      <c r="D54" s="84">
        <f>IF(B54="","",VLOOKUP(B54,'Master Data'!$A$86:$C$94,2,FALSE))</f>
        <v/>
      </c>
      <c r="E54" s="84">
        <f>IF(B54="","",VLOOKUP(B54,'Master Data'!$A$86:$C$94,3,FALSE))</f>
        <v/>
      </c>
      <c r="F54" s="84">
        <f>IF(E54&lt;&gt;"",E54-D54,"")</f>
        <v/>
      </c>
      <c r="G54" s="84">
        <f>IF(B54="","",C54*D54)</f>
        <v/>
      </c>
      <c r="H54" s="84">
        <f>IF(B54="","",C54*E54)</f>
        <v/>
      </c>
      <c r="I54" s="84">
        <f>IF(H54&lt;&gt;"",H54-G54,"")</f>
        <v/>
      </c>
      <c r="J54" s="81" t="n"/>
      <c r="K54" s="50" t="n"/>
      <c r="L54" s="49" t="n"/>
    </row>
    <row r="55">
      <c r="A55" s="81" t="n">
        <v>2</v>
      </c>
      <c r="B55" s="82" t="inlineStr">
        <is>
          <t>Sports Bar Experience</t>
        </is>
      </c>
      <c r="C55" s="83" t="n">
        <v>1</v>
      </c>
      <c r="D55" s="84">
        <f>IF(B55="","",VLOOKUP(B55,'Master Data'!$A$86:$C$94,2,FALSE))</f>
        <v/>
      </c>
      <c r="E55" s="84">
        <f>IF(B55="","",VLOOKUP(B55,'Master Data'!$A$86:$C$94,3,FALSE))</f>
        <v/>
      </c>
      <c r="F55" s="84">
        <f>IF(E55&lt;&gt;"",E55-D55,"")</f>
        <v/>
      </c>
      <c r="G55" s="84">
        <f>IF(B55="","",C55*D55)</f>
        <v/>
      </c>
      <c r="H55" s="84">
        <f>IF(B55="","",C55*E55)</f>
        <v/>
      </c>
      <c r="I55" s="84">
        <f>IF(H55&lt;&gt;"",H55-G55,"")</f>
        <v/>
      </c>
      <c r="J55" s="81" t="n"/>
      <c r="K55" s="50" t="n"/>
      <c r="L55" s="49" t="n"/>
    </row>
    <row r="56">
      <c r="A56" s="81" t="n">
        <v>3</v>
      </c>
      <c r="B56" s="82" t="n"/>
      <c r="C56" s="83" t="n"/>
      <c r="D56" s="84">
        <f>IF(B56="","",VLOOKUP(B56,'Master Data'!$A$86:$C$94,2,FALSE))</f>
        <v/>
      </c>
      <c r="E56" s="84">
        <f>IF(B56="","",VLOOKUP(B56,'Master Data'!$A$86:$C$94,3,FALSE))</f>
        <v/>
      </c>
      <c r="F56" s="84">
        <f>IF(E56&lt;&gt;"",E56-D56,"")</f>
        <v/>
      </c>
      <c r="G56" s="84">
        <f>IF(B56="","",C56*D56)</f>
        <v/>
      </c>
      <c r="H56" s="84">
        <f>IF(B56="","",C56*E56)</f>
        <v/>
      </c>
      <c r="I56" s="84">
        <f>IF(H56&lt;&gt;"",H56-G56,"")</f>
        <v/>
      </c>
      <c r="J56" s="81" t="n"/>
      <c r="K56" s="50" t="n"/>
      <c r="L56" s="49" t="n"/>
    </row>
    <row r="57">
      <c r="A57" s="81" t="n">
        <v>4</v>
      </c>
      <c r="B57" s="82" t="n"/>
      <c r="C57" s="83" t="n"/>
      <c r="D57" s="84">
        <f>IF(B57="","",VLOOKUP(B57,'Master Data'!$A$86:$C$94,2,FALSE))</f>
        <v/>
      </c>
      <c r="E57" s="84">
        <f>IF(B57="","",VLOOKUP(B57,'Master Data'!$A$86:$C$94,3,FALSE))</f>
        <v/>
      </c>
      <c r="F57" s="84">
        <f>IF(E57&lt;&gt;"",E57-D57,"")</f>
        <v/>
      </c>
      <c r="G57" s="84">
        <f>IF(B57="","",C57*D57)</f>
        <v/>
      </c>
      <c r="H57" s="84">
        <f>IF(B57="","",C57*E57)</f>
        <v/>
      </c>
      <c r="I57" s="84">
        <f>IF(H57&lt;&gt;"",H57-G57,"")</f>
        <v/>
      </c>
      <c r="J57" s="81" t="n"/>
      <c r="K57" s="50" t="n"/>
      <c r="L57" s="49" t="n"/>
    </row>
    <row r="58">
      <c r="A58" s="81" t="n">
        <v>5</v>
      </c>
      <c r="B58" s="82" t="n"/>
      <c r="C58" s="83" t="n"/>
      <c r="D58" s="84">
        <f>IF(B58="","",VLOOKUP(B58,'Master Data'!$A$86:$C$94,2,FALSE))</f>
        <v/>
      </c>
      <c r="E58" s="84">
        <f>IF(B58="","",VLOOKUP(B58,'Master Data'!$A$86:$C$94,3,FALSE))</f>
        <v/>
      </c>
      <c r="F58" s="84">
        <f>IF(E58&lt;&gt;"",E58-D58,"")</f>
        <v/>
      </c>
      <c r="G58" s="84">
        <f>IF(B58="","",C58*D58)</f>
        <v/>
      </c>
      <c r="H58" s="84">
        <f>IF(B58="","",C58*E58)</f>
        <v/>
      </c>
      <c r="I58" s="84">
        <f>IF(H58&lt;&gt;"",H58-G58,"")</f>
        <v/>
      </c>
      <c r="J58" s="81" t="n"/>
      <c r="K58" s="50" t="n"/>
      <c r="L58" s="49" t="n"/>
    </row>
    <row r="59">
      <c r="A59" s="81" t="n">
        <v>6</v>
      </c>
      <c r="B59" s="82" t="n"/>
      <c r="C59" s="83" t="n"/>
      <c r="D59" s="84">
        <f>IF(B59="","",VLOOKUP(B59,'Master Data'!$A$86:$C$94,2,FALSE))</f>
        <v/>
      </c>
      <c r="E59" s="84">
        <f>IF(B59="","",VLOOKUP(B59,'Master Data'!$A$86:$C$94,3,FALSE))</f>
        <v/>
      </c>
      <c r="F59" s="84">
        <f>IF(E59&lt;&gt;"",E59-D59,"")</f>
        <v/>
      </c>
      <c r="G59" s="84">
        <f>IF(B59="","",C59*D59)</f>
        <v/>
      </c>
      <c r="H59" s="84">
        <f>IF(B59="","",C59*E59)</f>
        <v/>
      </c>
      <c r="I59" s="84">
        <f>IF(H59&lt;&gt;"",H59-G59,"")</f>
        <v/>
      </c>
      <c r="J59" s="81" t="n"/>
      <c r="K59" s="50" t="n"/>
      <c r="L59" s="49" t="n"/>
    </row>
    <row r="60">
      <c r="A60" s="81" t="n">
        <v>7</v>
      </c>
      <c r="B60" s="82" t="n"/>
      <c r="C60" s="83" t="n">
        <v>1</v>
      </c>
      <c r="D60" s="84">
        <f>IF(B60="","",VLOOKUP(B60,'Master Data'!$A$86:$C$94,2,FALSE))</f>
        <v/>
      </c>
      <c r="E60" s="84">
        <f>IF(B60="","",VLOOKUP(B60,'Master Data'!$A$86:$C$94,3,FALSE))</f>
        <v/>
      </c>
      <c r="F60" s="84">
        <f>IF(E60&lt;&gt;"",E60-D60,"")</f>
        <v/>
      </c>
      <c r="G60" s="84">
        <f>IF(B60="","",C60*D60)</f>
        <v/>
      </c>
      <c r="H60" s="84">
        <f>IF(B60="","",C60*E60)</f>
        <v/>
      </c>
      <c r="I60" s="84">
        <f>IF(H60&lt;&gt;"",H60-G60,"")</f>
        <v/>
      </c>
      <c r="J60" s="81" t="n"/>
      <c r="K60" s="50" t="n"/>
      <c r="L60" s="49" t="n"/>
    </row>
    <row r="61">
      <c r="A61" s="81" t="n">
        <v>8</v>
      </c>
      <c r="B61" s="82" t="n"/>
      <c r="C61" s="83" t="n"/>
      <c r="D61" s="84">
        <f>IF(B61="","",VLOOKUP(B61,'Master Data'!$A$86:$C$94,2,FALSE))</f>
        <v/>
      </c>
      <c r="E61" s="84">
        <f>IF(B61="","",VLOOKUP(B61,'Master Data'!$A$86:$C$94,3,FALSE))</f>
        <v/>
      </c>
      <c r="F61" s="84">
        <f>IF(E61&lt;&gt;"",E61-D61,"")</f>
        <v/>
      </c>
      <c r="G61" s="84">
        <f>IF(B61="","",C61*D61)</f>
        <v/>
      </c>
      <c r="H61" s="84">
        <f>IF(B61="","",C61*E61)</f>
        <v/>
      </c>
      <c r="I61" s="84">
        <f>IF(H61&lt;&gt;"",H61-G61,"")</f>
        <v/>
      </c>
      <c r="J61" s="81" t="n"/>
    </row>
    <row r="62" ht="16.5" customHeight="1" s="42">
      <c r="A62" s="85" t="inlineStr">
        <is>
          <t>SUBTOTAL</t>
        </is>
      </c>
      <c r="B62" s="86" t="n"/>
      <c r="C62" s="86" t="n"/>
      <c r="D62" s="86" t="n"/>
      <c r="E62" s="86" t="n"/>
      <c r="F62" s="87" t="n"/>
      <c r="G62" s="88">
        <f>SUM(G54:G61)</f>
        <v/>
      </c>
      <c r="H62" s="88">
        <f>SUM(H54:H61)</f>
        <v/>
      </c>
      <c r="I62" s="88">
        <f>SUM(I54:I61)</f>
        <v/>
      </c>
    </row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 s="88">
        <f>G43</f>
        <v/>
      </c>
      <c r="H69" s="88">
        <f>H43</f>
        <v/>
      </c>
      <c r="I69" s="88">
        <f>I43</f>
        <v/>
      </c>
      <c r="K69" s="91">
        <f>IF(H69&gt;0,I69/H69,0)</f>
        <v/>
      </c>
    </row>
    <row r="70">
      <c r="A70" s="57" t="inlineStr">
        <is>
          <t>ACTIVITIES</t>
        </is>
      </c>
      <c r="G70">
        <f>G62</f>
        <v/>
      </c>
      <c r="H70">
        <f>H62</f>
        <v/>
      </c>
      <c r="I70">
        <f>I62</f>
        <v/>
      </c>
      <c r="K7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B72" s="89" t="n"/>
      <c r="C72" s="89" t="n"/>
      <c r="D72" s="89" t="n"/>
      <c r="E72" s="89" t="n"/>
      <c r="F72" s="90" t="n"/>
      <c r="G72" s="88">
        <f>SUM(G66:G71)</f>
        <v/>
      </c>
      <c r="H72" s="88">
        <f>SUM(H66:H71)</f>
        <v/>
      </c>
      <c r="I72" s="88">
        <f>SUM(I66:I71)</f>
        <v/>
      </c>
      <c r="K72" s="91">
        <f>IF(H72&gt;0,I72/H72,0)</f>
        <v/>
      </c>
    </row>
    <row r="73" ht="30.75" customHeight="1" s="42"/>
    <row r="74" ht="30.75" customHeight="1" s="42">
      <c r="A74" s="48" t="inlineStr">
        <is>
          <t>👤 MULTI-DIRECTIONAL COST ALLOCATION (per person — override any yellow cell)</t>
        </is>
      </c>
    </row>
    <row r="75" ht="30.75" customHeight="1" s="42">
      <c r="A75" s="52" t="inlineStr">
        <is>
          <t>Category</t>
        </is>
      </c>
      <c r="B75" s="52" t="inlineStr">
        <is>
          <t>P1</t>
        </is>
      </c>
      <c r="C75" s="52" t="inlineStr">
        <is>
          <t>P2</t>
        </is>
      </c>
      <c r="D75" s="52" t="inlineStr">
        <is>
          <t>P3</t>
        </is>
      </c>
      <c r="E75" s="52" t="inlineStr">
        <is>
          <t>P4</t>
        </is>
      </c>
      <c r="F75" s="52" t="inlineStr">
        <is>
          <t>P5</t>
        </is>
      </c>
      <c r="G75" s="52" t="inlineStr">
        <is>
          <t>P6</t>
        </is>
      </c>
      <c r="H75" s="52" t="inlineStr">
        <is>
          <t>P7</t>
        </is>
      </c>
      <c r="I75" s="52" t="inlineStr">
        <is>
          <t>P8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6">
      <c r="A86" s="48" t="inlineStr">
        <is>
          <t>👤 PER PERSON QUICK SUMMARY</t>
        </is>
      </c>
    </row>
    <row r="87">
      <c r="A87" t="inlineStr">
        <is>
          <t>Golfers:</t>
        </is>
      </c>
      <c r="B87">
        <f>G5</f>
        <v/>
      </c>
      <c r="C87" t="inlineStr">
        <is>
          <t>persons</t>
        </is>
      </c>
      <c r="E87" t="inlineStr">
        <is>
          <t>Duration:</t>
        </is>
      </c>
      <c r="F87">
        <f>I11</f>
        <v/>
      </c>
    </row>
    <row r="88">
      <c r="E88" t="inlineStr">
        <is>
          <t>Per Person Total:</t>
        </is>
      </c>
      <c r="F88" s="66">
        <f>IF(G5&gt;0,H72/G5,0)</f>
        <v/>
      </c>
    </row>
    <row r="89">
      <c r="E89" t="inlineStr">
        <is>
          <t>Per Person Cost:</t>
        </is>
      </c>
      <c r="F89" s="66">
        <f>IF(G5&gt;0,G72/G5,0)</f>
        <v/>
      </c>
    </row>
    <row r="90">
      <c r="E90" t="inlineStr">
        <is>
          <t>Per Person Margin:</t>
        </is>
      </c>
      <c r="F90" s="66">
        <f>IF(G5&gt;0,I72/G5,0)</f>
        <v/>
      </c>
    </row>
  </sheetData>
  <mergeCells count="19">
    <mergeCell ref="A7:L7"/>
    <mergeCell ref="A27:F27"/>
    <mergeCell ref="A74:L74"/>
    <mergeCell ref="A50:F50"/>
    <mergeCell ref="B5:E5"/>
    <mergeCell ref="A22:L22"/>
    <mergeCell ref="A62:F62"/>
    <mergeCell ref="A20:F20"/>
    <mergeCell ref="A72:F72"/>
    <mergeCell ref="A4:L4"/>
    <mergeCell ref="A43:F43"/>
    <mergeCell ref="A29:L29"/>
    <mergeCell ref="A52:L52"/>
    <mergeCell ref="A13:L13"/>
    <mergeCell ref="A34:F34"/>
    <mergeCell ref="A64:L64"/>
    <mergeCell ref="A1:L1"/>
    <mergeCell ref="A45:L45"/>
    <mergeCell ref="A36:L36"/>
  </mergeCells>
  <dataValidations count="11">
    <dataValidation sqref="B15 B16 B17 B18 B19" showDropDown="0" showInputMessage="0" showErrorMessage="0" allowBlank="1" error="올바른 항목을 선택하세요" type="list">
      <formula1>'Master Data'!$A$7:$A$14</formula1>
    </dataValidation>
    <dataValidation sqref="B24 B25 B26" showDropDown="0" showInputMessage="0" showErrorMessage="0" allowBlank="1" error="올바른 항목을 선택하세요" type="list">
      <formula1>'Master Data'!$A$19:$A$24</formula1>
    </dataValidation>
    <dataValidation sqref="K24 K25 K26" showDropDown="0" showInputMessage="0" showErrorMessage="0" allowBlank="0" type="list">
      <formula1>"1인1실, 2인1실, 3인1실, 4인1실"</formula1>
    </dataValidation>
    <dataValidation sqref="L24 L25 L26" showDropDown="0" showInputMessage="0" showErrorMessage="0" allowBlank="0" type="list">
      <formula1>"1, 2, 3, 4"</formula1>
    </dataValidation>
    <dataValidation sqref="B31 B32 B33" showDropDown="0" showInputMessage="0" showErrorMessage="0" allowBlank="1" error="올바른 항목을 선택하세요" type="list">
      <formula1>'Master Data'!$A$28:$A$34</formula1>
    </dataValidation>
    <dataValidation sqref="K31 K32 K33" showDropDown="0" showInputMessage="0" showErrorMessage="0" allowBlank="0" type="list">
      <formula1>"Full-size Van, Mini Van, SUV, Sedan, Limo, Mini Bus (15p), Charter Bus (40p)"</formula1>
    </dataValidation>
    <dataValidation sqref="B38 B39 B40 B41 B42" showDropDown="0" showInputMessage="0" showErrorMessage="0" allowBlank="1" error="올바른 항목을 선택하세요" type="list">
      <formula1>'Master Data'!$A$38:$A$46</formula1>
    </dataValidation>
    <dataValidation sqref="B47 B48 B49" showDropDown="0" showInputMessage="0" showErrorMessage="0" allowBlank="1" error="올바른 항목을 선택하세요" type="list">
      <formula1>'Master Data'!$A$50:$A$56</formula1>
    </dataValidation>
    <dataValidation sqref="B54 B55 B56 B57 B58 B59 B60 B61" showDropDown="0" showInputMessage="0" showErrorMessage="0" allowBlank="1" error="올바른 항목을 선택하세요" type="list">
      <formula1>'Master Data'!$A$86:$A$94</formula1>
    </dataValidation>
    <dataValidation sqref="G5" showDropDown="0" showInputMessage="0" showErrorMessage="0" allowBlank="0" type="list">
      <formula1>"2,4,6,8"</formula1>
    </dataValidation>
    <dataValidation sqref="L8 L9" showDropDown="0" showInputMessage="0" showErrorMessage="0" allowBlank="0" type="list">
      <formula1>"First, Business, Premium Economy, Economy"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IF(C11&gt;0,D11/C11,0)</f>
        <v/>
      </c>
      <c r="F11" s="5">
        <f>IF('Package Selector'!G5&gt;0,B11/'Package Selector'!G5,0)</f>
        <v/>
      </c>
      <c r="G11" s="5">
        <f>IF('Package Selector'!G5&gt;0,C11/'Package Selector'!G5,0)</f>
        <v/>
      </c>
      <c r="H11" s="5">
        <f>IF('Package Selector'!G5&gt;0,D11/'Package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2026-05-24T21:03:27Z</dcterms:modified>
</cp:coreProperties>
</file>