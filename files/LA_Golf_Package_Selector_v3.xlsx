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0"/>
  </numFmts>
  <fonts count="22">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FFFFFF"/>
      <sz val="10"/>
    </font>
    <font>
      <name val="Calibri"/>
      <b val="1"/>
      <sz val="11"/>
    </font>
    <font>
      <name val="Calibri"/>
      <b val="1"/>
      <color rgb="FF1A3450"/>
      <sz val="10"/>
    </font>
    <font>
      <name val="Calibri"/>
      <b val="1"/>
      <color rgb="FFFFFFFF"/>
      <sz val="10"/>
    </font>
    <font>
      <name val="Calibri"/>
      <b val="1"/>
      <sz val="10"/>
    </font>
    <font>
      <name val="Calibri"/>
      <sz val="10"/>
    </font>
    <font>
      <name val="Calibri"/>
      <b val="1"/>
      <color rgb="FFFFFFFF"/>
      <sz val="11"/>
    </font>
    <font>
      <name val="Calibri"/>
      <b val="1"/>
      <color rgb="FF1A3450"/>
      <sz val="16"/>
    </font>
    <font>
      <name val="Calibri"/>
      <b val="1"/>
      <color rgb="FF1A3450"/>
      <sz val="14"/>
    </font>
    <font>
      <name val="Calibri"/>
      <b val="1"/>
      <color rgb="FF1A3450"/>
      <sz val="9"/>
    </font>
    <font>
      <name val="Calibri"/>
      <b val="1"/>
      <color rgb="FF1A3450"/>
      <sz val="8"/>
    </font>
    <font>
      <name val="Calibri"/>
      <family val="2"/>
      <color theme="1"/>
      <sz val="11"/>
      <scheme val="minor"/>
    </font>
    <font>
      <name val="Calibri"/>
      <family val="2"/>
      <b val="1"/>
      <color rgb="FFFFFFFF"/>
      <sz val="11"/>
    </font>
    <font>
      <name val="Calibri"/>
      <family val="2"/>
      <b val="1"/>
      <sz val="11"/>
    </font>
    <font>
      <name val="Calibri"/>
      <family val="2"/>
      <color rgb="FF1A3450"/>
      <sz val="11"/>
    </font>
    <font>
      <name val="Calibri"/>
      <sz val="11"/>
    </font>
  </fonts>
  <fills count="20">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1A3450"/>
        <bgColor rgb="FF1A3450"/>
      </patternFill>
    </fill>
    <fill>
      <patternFill patternType="solid">
        <fgColor rgb="FFFFFFD7"/>
        <bgColor rgb="FFFFFFD7"/>
      </patternFill>
    </fill>
    <fill>
      <patternFill patternType="solid">
        <fgColor rgb="FFDCE6F1"/>
        <bgColor rgb="FFDCE6F1"/>
      </patternFill>
    </fill>
    <fill>
      <patternFill patternType="solid">
        <fgColor rgb="FFD4AF37"/>
        <bgColor rgb="FFD4AF37"/>
      </patternFill>
    </fill>
    <fill>
      <patternFill patternType="solid">
        <fgColor rgb="FF1A3450"/>
        <bgColor rgb="FF1A3450"/>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E8F0FE"/>
        <bgColor rgb="FFE8F0FE"/>
      </patternFill>
    </fill>
    <fill>
      <patternFill patternType="solid">
        <fgColor rgb="FFF2F2F2"/>
        <bgColor rgb="FFF2F2F2"/>
      </patternFill>
    </fill>
    <fill>
      <patternFill patternType="solid">
        <fgColor theme="4" tint="0.7999816888943144"/>
        <bgColor indexed="64"/>
      </patternFill>
    </fill>
    <fill>
      <patternFill patternType="solid">
        <fgColor rgb="FFD6E4F0"/>
        <bgColor rgb="FFD6E4F0"/>
      </patternFill>
    </fill>
    <fill>
      <patternFill patternType="solid">
        <fgColor rgb="FFBDD7EE"/>
        <bgColor rgb="FFBDD7EE"/>
      </patternFill>
    </fill>
  </fills>
  <borders count="23">
    <border>
      <left/>
      <right/>
      <top/>
      <bottom/>
      <diagonal/>
    </border>
    <border>
      <left style="thin">
        <color auto="1"/>
      </left>
      <right style="thin">
        <color auto="1"/>
      </right>
      <top style="thin">
        <color auto="1"/>
      </top>
      <bottom style="thin">
        <color auto="1"/>
      </bottom>
      <diagonal/>
    </border>
    <border>
      <left style="medium">
        <color rgb="FF333333"/>
      </left>
      <right style="medium">
        <color rgb="FF333333"/>
      </right>
      <top style="medium">
        <color rgb="FF333333"/>
      </top>
      <bottom style="medium">
        <color rgb="FF333333"/>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999999"/>
      </top>
      <bottom/>
      <diagonal/>
    </border>
    <border>
      <left/>
      <right style="thin">
        <color rgb="FF999999"/>
      </right>
      <top style="thin">
        <color rgb="FF999999"/>
      </top>
      <bottom/>
      <diagonal/>
    </border>
    <border>
      <left/>
      <right/>
      <top style="medium">
        <color rgb="FF333333"/>
      </top>
      <bottom/>
      <diagonal/>
    </border>
    <border>
      <left/>
      <right style="medium">
        <color rgb="FF333333"/>
      </right>
      <top style="medium">
        <color rgb="FF333333"/>
      </top>
      <bottom/>
      <diagonal/>
    </border>
    <border>
      <left style="thin">
        <color rgb="FF999999"/>
      </left>
      <right style="thin">
        <color rgb="FF999999"/>
      </right>
      <top style="thin">
        <color rgb="FF999999"/>
      </top>
      <bottom style="thin">
        <color rgb="FF999999"/>
      </bottom>
    </border>
    <border/>
  </borders>
  <cellStyleXfs count="2">
    <xf numFmtId="0" fontId="17" fillId="0" borderId="0"/>
    <xf numFmtId="9" fontId="17" fillId="0" borderId="0"/>
  </cellStyleXfs>
  <cellXfs count="112">
    <xf numFmtId="0" fontId="0" fillId="0" borderId="0" pivotButton="0" quotePrefix="0" xfId="0"/>
    <xf numFmtId="0" fontId="6" fillId="6" borderId="1"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0" fillId="7" borderId="1" applyAlignment="1" pivotButton="0" quotePrefix="0" xfId="0">
      <alignment horizontal="center" vertical="center"/>
    </xf>
    <xf numFmtId="0" fontId="11" fillId="0" borderId="3" applyAlignment="1" pivotButton="0" quotePrefix="0" xfId="0">
      <alignment horizontal="center" vertical="center" wrapText="1"/>
    </xf>
    <xf numFmtId="0" fontId="11" fillId="11" borderId="3" applyAlignment="1" pivotButton="0" quotePrefix="0" xfId="0">
      <alignment horizontal="center" vertical="center" wrapText="1"/>
    </xf>
    <xf numFmtId="3" fontId="11" fillId="11" borderId="3" applyAlignment="1" pivotButton="0" quotePrefix="0" xfId="0">
      <alignment horizontal="center" vertical="center" wrapText="1"/>
    </xf>
    <xf numFmtId="3" fontId="11" fillId="12" borderId="3" applyAlignment="1" pivotButton="0" quotePrefix="0" xfId="0">
      <alignment horizontal="center" vertical="center" wrapText="1"/>
    </xf>
    <xf numFmtId="0" fontId="0" fillId="0" borderId="4" pivotButton="0" quotePrefix="0" xfId="0"/>
    <xf numFmtId="0" fontId="0" fillId="0" borderId="5" pivotButton="0" quotePrefix="0" xfId="0"/>
    <xf numFmtId="3" fontId="10" fillId="14" borderId="3" applyAlignment="1" pivotButton="0" quotePrefix="0" xfId="0">
      <alignment horizontal="center" vertical="center" wrapText="1"/>
    </xf>
    <xf numFmtId="164" fontId="10" fillId="14" borderId="3" applyAlignment="1" pivotButton="0" quotePrefix="0" xfId="0">
      <alignment horizontal="center" vertical="center" wrapText="1"/>
    </xf>
    <xf numFmtId="0" fontId="0" fillId="0" borderId="6" pivotButton="0" quotePrefix="0" xfId="0"/>
    <xf numFmtId="0" fontId="9" fillId="10" borderId="3" applyAlignment="1" pivotButton="0" quotePrefix="0" xfId="0">
      <alignment horizontal="center" vertical="center" wrapText="1"/>
    </xf>
    <xf numFmtId="0" fontId="12" fillId="9" borderId="2" applyAlignment="1" pivotButton="0" quotePrefix="0" xfId="0">
      <alignment horizontal="left" vertical="center" wrapText="1"/>
    </xf>
    <xf numFmtId="0" fontId="8" fillId="0" borderId="3" applyAlignment="1" pivotButton="0" quotePrefix="0" xfId="0">
      <alignment horizontal="right" vertical="center"/>
    </xf>
    <xf numFmtId="0" fontId="11" fillId="0" borderId="3" applyAlignment="1" pivotButton="0" quotePrefix="0" xfId="0">
      <alignment horizontal="left" vertical="center" wrapText="1"/>
    </xf>
    <xf numFmtId="0" fontId="11" fillId="16" borderId="3" applyAlignment="1" pivotButton="0" quotePrefix="0" xfId="0">
      <alignment horizontal="left" vertical="center" wrapText="1"/>
    </xf>
    <xf numFmtId="3" fontId="11" fillId="15" borderId="3" applyAlignment="1" pivotButton="0" quotePrefix="0" xfId="0">
      <alignment horizontal="center" vertical="center" wrapText="1"/>
    </xf>
    <xf numFmtId="0" fontId="10" fillId="13" borderId="3" applyAlignment="1" pivotButton="0" quotePrefix="0" xfId="0">
      <alignment horizontal="center" vertical="center" wrapText="1"/>
    </xf>
    <xf numFmtId="0" fontId="10" fillId="14" borderId="3" applyAlignment="1" pivotButton="0" quotePrefix="0" xfId="0">
      <alignment horizontal="left" vertical="center" wrapText="1"/>
    </xf>
    <xf numFmtId="0" fontId="10" fillId="13" borderId="3" applyAlignment="1" pivotButton="0" quotePrefix="0" xfId="0">
      <alignment horizontal="right" vertical="center"/>
    </xf>
    <xf numFmtId="0" fontId="8" fillId="9" borderId="2" applyAlignment="1" pivotButton="0" quotePrefix="0" xfId="0">
      <alignment horizontal="left" vertical="center" wrapText="1"/>
    </xf>
    <xf numFmtId="0" fontId="11" fillId="11" borderId="3" applyAlignment="1" pivotButton="0" quotePrefix="0" xfId="0">
      <alignment horizontal="left" vertical="center" wrapText="1"/>
    </xf>
    <xf numFmtId="3" fontId="10" fillId="13" borderId="3" applyAlignment="1" pivotButton="0" quotePrefix="0" xfId="0">
      <alignment horizontal="center" vertical="center" wrapText="1"/>
    </xf>
    <xf numFmtId="3" fontId="10" fillId="15" borderId="3" applyAlignment="1" pivotButton="0" quotePrefix="0" xfId="0">
      <alignment horizontal="center" vertical="center" wrapText="1"/>
    </xf>
    <xf numFmtId="164" fontId="11" fillId="15" borderId="3" applyAlignment="1" pivotButton="0" quotePrefix="0" xfId="0">
      <alignment horizontal="center" vertical="center" wrapText="1"/>
    </xf>
    <xf numFmtId="3" fontId="10" fillId="12" borderId="3" applyAlignment="1" pivotButton="0" quotePrefix="0" xfId="0">
      <alignment horizontal="center" vertical="center" wrapText="1"/>
    </xf>
    <xf numFmtId="0" fontId="10" fillId="0" borderId="3" applyAlignment="1" pivotButton="0" quotePrefix="0" xfId="0">
      <alignment horizontal="left" vertical="center" wrapText="1"/>
    </xf>
    <xf numFmtId="164" fontId="11" fillId="12"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5" borderId="3" applyAlignment="1" pivotButton="0" quotePrefix="0" xfId="0">
      <alignment horizontal="center" vertical="center" wrapText="1"/>
    </xf>
    <xf numFmtId="0" fontId="8" fillId="0" borderId="3" applyAlignment="1" pivotButton="0" quotePrefix="0" xfId="0">
      <alignment horizontal="left" vertical="center" wrapText="1"/>
    </xf>
    <xf numFmtId="0" fontId="11" fillId="12" borderId="3" applyAlignment="1" pivotButton="0" quotePrefix="0" xfId="0">
      <alignment horizontal="left" vertical="center" wrapText="1"/>
    </xf>
    <xf numFmtId="0" fontId="14" fillId="0" borderId="8" applyAlignment="1" pivotButton="0" quotePrefix="0" xfId="0">
      <alignment horizontal="center" vertical="center" wrapText="1"/>
    </xf>
    <xf numFmtId="3" fontId="0" fillId="8" borderId="1" applyAlignment="1" pivotButton="0" quotePrefix="0" xfId="0">
      <alignment horizontal="center" vertical="center"/>
    </xf>
    <xf numFmtId="0" fontId="0" fillId="0" borderId="7" pivotButton="0" quotePrefix="0" xfId="0"/>
    <xf numFmtId="0" fontId="10" fillId="12" borderId="3" applyAlignment="1" pivotButton="0" quotePrefix="0" xfId="0">
      <alignment horizontal="center" vertical="center" wrapText="1"/>
    </xf>
    <xf numFmtId="165" fontId="13" fillId="12" borderId="3" applyAlignment="1" pivotButton="0" quotePrefix="0" xfId="0">
      <alignment horizontal="center" vertical="center" wrapText="1"/>
    </xf>
    <xf numFmtId="0" fontId="16" fillId="15" borderId="3" applyAlignment="1" pivotButton="0" quotePrefix="0" xfId="0">
      <alignment horizontal="center" vertical="center" wrapText="1"/>
    </xf>
    <xf numFmtId="0" fontId="12" fillId="9" borderId="2" applyAlignment="1" pivotButton="0" quotePrefix="0" xfId="0">
      <alignment horizontal="left" vertical="center" wrapText="1"/>
    </xf>
    <xf numFmtId="0" fontId="0" fillId="0" borderId="7" pivotButton="0" quotePrefix="0" xfId="0"/>
    <xf numFmtId="0" fontId="0" fillId="0" borderId="6" pivotButton="0" quotePrefix="0" xfId="0"/>
    <xf numFmtId="0" fontId="0" fillId="0" borderId="0" pivotButton="0" quotePrefix="0" xfId="0"/>
    <xf numFmtId="0" fontId="11" fillId="11" borderId="3" applyAlignment="1" pivotButton="0" quotePrefix="0" xfId="0">
      <alignment horizontal="left" vertical="center" wrapText="1"/>
    </xf>
    <xf numFmtId="0" fontId="0" fillId="0" borderId="5" pivotButton="0" quotePrefix="0" xfId="0"/>
    <xf numFmtId="0" fontId="15" fillId="15" borderId="3" applyAlignment="1" pivotButton="0" quotePrefix="0" xfId="0">
      <alignment horizontal="left" vertical="center" wrapText="1"/>
    </xf>
    <xf numFmtId="0" fontId="0" fillId="0" borderId="4" pivotButton="0" quotePrefix="0" xfId="0"/>
    <xf numFmtId="0" fontId="8" fillId="0" borderId="3" applyAlignment="1" pivotButton="0" quotePrefix="0" xfId="0">
      <alignment horizontal="right" vertical="center"/>
    </xf>
    <xf numFmtId="0" fontId="9" fillId="10" borderId="3" applyAlignment="1" pivotButton="0" quotePrefix="0" xfId="0">
      <alignment horizontal="left" vertical="center" wrapText="1"/>
    </xf>
    <xf numFmtId="0" fontId="11" fillId="0" borderId="3" applyAlignment="1" pivotButton="0" quotePrefix="0" xfId="0">
      <alignment horizontal="left" vertical="center" wrapText="1"/>
    </xf>
    <xf numFmtId="0" fontId="10" fillId="12" borderId="3" applyAlignment="1" pivotButton="0" quotePrefix="0" xfId="0">
      <alignment horizontal="left" vertical="center" wrapText="1"/>
    </xf>
    <xf numFmtId="165" fontId="13" fillId="14" borderId="3" applyAlignment="1" pivotButton="0" quotePrefix="0" xfId="0">
      <alignment horizontal="center" vertical="center" wrapText="1"/>
    </xf>
    <xf numFmtId="0" fontId="12" fillId="10" borderId="2" applyAlignment="1" pivotButton="0" quotePrefix="0" xfId="0">
      <alignment horizontal="left" vertical="center" wrapText="1"/>
    </xf>
    <xf numFmtId="0" fontId="12" fillId="9" borderId="2" applyAlignment="1" pivotButton="0" quotePrefix="0" xfId="0">
      <alignment horizontal="center" vertical="center" wrapText="1"/>
    </xf>
    <xf numFmtId="0" fontId="3" fillId="9" borderId="2" applyAlignment="1" pivotButton="0" quotePrefix="0" xfId="0">
      <alignment horizontal="left" vertical="center" wrapText="1"/>
    </xf>
    <xf numFmtId="0"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8" fillId="3" borderId="1" applyAlignment="1" pivotButton="0" quotePrefix="0" xfId="0">
      <alignment horizontal="center" vertical="center" wrapText="1"/>
    </xf>
    <xf numFmtId="3" fontId="4" fillId="5" borderId="1" applyAlignment="1" pivotButton="0" quotePrefix="0" xfId="0">
      <alignment horizontal="center" vertical="center" wrapText="1"/>
    </xf>
    <xf numFmtId="3" fontId="4"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0" fillId="0" borderId="1" pivotButton="0" quotePrefix="0" xfId="0"/>
    <xf numFmtId="0" fontId="3" fillId="2" borderId="1" applyAlignment="1" pivotButton="0" quotePrefix="0" xfId="0">
      <alignment horizontal="left" vertical="center" wrapText="1"/>
    </xf>
    <xf numFmtId="0" fontId="4" fillId="4" borderId="1" applyAlignment="1" pivotButton="0" quotePrefix="0" xfId="0">
      <alignment horizontal="right" vertical="center" wrapText="1"/>
    </xf>
    <xf numFmtId="0" fontId="20"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18" fillId="2" borderId="1" applyAlignment="1" pivotButton="0" quotePrefix="0" xfId="0">
      <alignment horizontal="left" vertical="center" wrapText="1"/>
    </xf>
    <xf numFmtId="0" fontId="7" fillId="0" borderId="1" pivotButton="0" quotePrefix="0" xfId="0"/>
    <xf numFmtId="0" fontId="19" fillId="4" borderId="1" applyAlignment="1" pivotButton="0" quotePrefix="0" xfId="0">
      <alignment horizontal="right" vertical="center" wrapText="1"/>
    </xf>
    <xf numFmtId="0" fontId="2" fillId="0" borderId="1" applyAlignment="1" pivotButton="0" quotePrefix="0" xfId="0">
      <alignment horizontal="right" vertical="center"/>
    </xf>
    <xf numFmtId="0" fontId="3" fillId="3" borderId="1" applyAlignment="1" pivotButton="0" quotePrefix="0" xfId="0">
      <alignment horizontal="right" vertical="center" wrapText="1"/>
    </xf>
    <xf numFmtId="0" fontId="0" fillId="0" borderId="1" applyAlignment="1" pivotButton="0" quotePrefix="0" xfId="0">
      <alignment horizontal="right"/>
    </xf>
    <xf numFmtId="0" fontId="3" fillId="3" borderId="1" applyAlignment="1" pivotButton="0" quotePrefix="0" xfId="0">
      <alignment horizontal="right" vertical="center" wrapText="1"/>
    </xf>
    <xf numFmtId="9" fontId="4" fillId="17" borderId="1" applyAlignment="1" pivotButton="0" quotePrefix="0" xfId="1">
      <alignment horizontal="center" vertical="center" wrapText="1"/>
    </xf>
    <xf numFmtId="0" fontId="6" fillId="6" borderId="9" applyAlignment="1" pivotButton="0" quotePrefix="0" xfId="0">
      <alignment horizontal="center" vertical="center"/>
    </xf>
    <xf numFmtId="0" fontId="6" fillId="6" borderId="10" applyAlignment="1" pivotButton="0" quotePrefix="0" xfId="0">
      <alignment horizontal="center" vertical="center"/>
    </xf>
    <xf numFmtId="0" fontId="0" fillId="0" borderId="16" pivotButton="0" quotePrefix="0" xfId="0"/>
    <xf numFmtId="0" fontId="0" fillId="0" borderId="15" pivotButton="0" quotePrefix="0" xfId="0"/>
    <xf numFmtId="0" fontId="0" fillId="0" borderId="10" pivotButton="0" quotePrefix="0" xfId="0"/>
    <xf numFmtId="0" fontId="7" fillId="10" borderId="21" applyAlignment="1" pivotButton="0" quotePrefix="0" xfId="0">
      <alignment horizontal="left" vertical="center" wrapText="1"/>
    </xf>
    <xf numFmtId="0" fontId="7" fillId="0" borderId="21" applyAlignment="1" pivotButton="0" quotePrefix="0" xfId="0">
      <alignment horizontal="left" vertical="center" wrapText="1"/>
    </xf>
    <xf numFmtId="0" fontId="21" fillId="9" borderId="21" applyAlignment="1" pivotButton="0" quotePrefix="0" xfId="0">
      <alignment horizontal="left" vertical="center" wrapText="1"/>
    </xf>
    <xf numFmtId="0" fontId="7" fillId="18" borderId="21" applyAlignment="1" pivotButton="0" quotePrefix="0" xfId="0">
      <alignment horizontal="center" vertical="center" wrapText="1"/>
    </xf>
    <xf numFmtId="0" fontId="21" fillId="11" borderId="21" applyAlignment="1" pivotButton="0" quotePrefix="0" xfId="0">
      <alignment horizontal="center" vertical="center" wrapText="1"/>
    </xf>
    <xf numFmtId="0" fontId="21" fillId="0" borderId="21" applyAlignment="1" pivotButton="0" quotePrefix="0" xfId="0">
      <alignment horizontal="center" vertical="center" wrapText="1"/>
    </xf>
    <xf numFmtId="0" fontId="21" fillId="19" borderId="21" applyAlignment="1" pivotButton="0" quotePrefix="0" xfId="0">
      <alignment horizontal="center" vertical="center" wrapText="1"/>
    </xf>
    <xf numFmtId="0" fontId="21" fillId="0" borderId="22" applyAlignment="1" pivotButton="0" quotePrefix="0" xfId="0">
      <alignment horizontal="center" vertical="center" wrapText="1"/>
    </xf>
    <xf numFmtId="3" fontId="7" fillId="18" borderId="21" applyAlignment="1" pivotButton="0" quotePrefix="0" xfId="0">
      <alignment horizontal="center" vertical="center" wrapText="1"/>
    </xf>
    <xf numFmtId="0" fontId="7" fillId="9" borderId="21" applyAlignment="1" pivotButton="0" quotePrefix="0" xfId="0">
      <alignment horizontal="center" vertical="center" wrapText="1"/>
    </xf>
    <xf numFmtId="0" fontId="21" fillId="0" borderId="21" applyAlignment="1" pivotButton="0" quotePrefix="0" xfId="0">
      <alignment horizontal="right" vertical="center"/>
    </xf>
    <xf numFmtId="0" fontId="7" fillId="0" borderId="21" applyAlignment="1" pivotButton="0" quotePrefix="0" xfId="0">
      <alignment horizontal="center" vertical="center" wrapText="1"/>
    </xf>
    <xf numFmtId="0" fontId="12" fillId="10" borderId="21" applyAlignment="1" pivotButton="0" quotePrefix="0" xfId="0">
      <alignment horizontal="center" vertical="center" wrapText="1"/>
    </xf>
    <xf numFmtId="0" fontId="12" fillId="10" borderId="21" applyAlignment="1" pivotButton="0" quotePrefix="0" xfId="0">
      <alignment horizontal="left" vertical="center" wrapText="1"/>
    </xf>
    <xf numFmtId="0" fontId="21" fillId="11" borderId="21" applyAlignment="1" pivotButton="0" quotePrefix="0" xfId="0">
      <alignment horizontal="left" vertical="center" wrapText="1"/>
    </xf>
    <xf numFmtId="3" fontId="21" fillId="11" borderId="21" applyAlignment="1" pivotButton="0" quotePrefix="0" xfId="0">
      <alignment horizontal="center" vertical="center" wrapText="1"/>
    </xf>
    <xf numFmtId="3" fontId="21" fillId="19" borderId="21" applyAlignment="1" pivotButton="0" quotePrefix="0" xfId="0">
      <alignment horizontal="right" vertical="center"/>
    </xf>
    <xf numFmtId="164" fontId="21" fillId="19" borderId="21" applyAlignment="1" pivotButton="0" quotePrefix="0" xfId="0">
      <alignment horizontal="center" vertical="center" wrapText="1"/>
    </xf>
    <xf numFmtId="3" fontId="21" fillId="0" borderId="21" applyAlignment="1" pivotButton="0" quotePrefix="0" xfId="0">
      <alignment horizontal="center" vertical="center" wrapText="1"/>
    </xf>
    <xf numFmtId="0" fontId="21" fillId="0" borderId="21" applyAlignment="1" pivotButton="0" quotePrefix="0" xfId="0">
      <alignment horizontal="left" vertical="center" wrapText="1"/>
    </xf>
    <xf numFmtId="0" fontId="7" fillId="9" borderId="21" applyAlignment="1" pivotButton="0" quotePrefix="0" xfId="0">
      <alignment horizontal="left" vertical="center" wrapText="1"/>
    </xf>
    <xf numFmtId="3" fontId="7" fillId="9" borderId="21" applyAlignment="1" pivotButton="0" quotePrefix="0" xfId="0">
      <alignment horizontal="right" vertical="center"/>
    </xf>
    <xf numFmtId="3" fontId="7" fillId="9" borderId="21" applyAlignment="1" pivotButton="0" quotePrefix="0" xfId="0">
      <alignment horizontal="center" vertical="center" wrapText="1"/>
    </xf>
    <xf numFmtId="164" fontId="7" fillId="9" borderId="21" applyAlignment="1" pivotButton="0" quotePrefix="0" xfId="0">
      <alignment horizontal="center" vertical="center" wrapText="1"/>
    </xf>
    <xf numFmtId="3" fontId="21" fillId="0" borderId="22" applyAlignment="1" pivotButton="0" quotePrefix="0" xfId="0">
      <alignment horizontal="center" vertical="center" wrapText="1"/>
    </xf>
    <xf numFmtId="0" fontId="7" fillId="18" borderId="21" applyAlignment="1" pivotButton="0" quotePrefix="0" xfId="0">
      <alignment horizontal="left" vertical="center" wrapText="1"/>
    </xf>
    <xf numFmtId="0" fontId="21" fillId="18" borderId="21" applyAlignment="1" pivotButton="0" quotePrefix="0" xfId="0">
      <alignment horizontal="center" vertical="center" wrapText="1"/>
    </xf>
    <xf numFmtId="3" fontId="21" fillId="0" borderId="21" applyAlignment="1" pivotButton="0" quotePrefix="0" xfId="0">
      <alignment horizontal="right" vertical="center"/>
    </xf>
    <xf numFmtId="0" fontId="7" fillId="9" borderId="21" applyAlignment="1" pivotButton="0" quotePrefix="0" xfId="0">
      <alignment horizontal="right" vertical="center"/>
    </xf>
    <xf numFmtId="164" fontId="21" fillId="0" borderId="21" applyAlignment="1" pivotButton="0" quotePrefix="0" xfId="0">
      <alignment horizontal="center" vertical="center" wrapText="1"/>
    </xf>
  </cellXfs>
  <cellStyles count="2">
    <cellStyle name="Normal" xfId="0" builtinId="0"/>
    <cellStyle name="Percent" xfId="1" builtinId="5"/>
  </cellStyles>
  <dxfs count="15">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name val="Calibri"/>
        <b val="1"/>
        <color rgb="FFD4AF37"/>
        <sz val="14"/>
      </font>
      <fill>
        <patternFill patternType="solid">
          <fgColor rgb="FF1A3450"/>
          <bgColor rgb="FF1A3450"/>
        </patternFill>
      </fill>
    </dxf>
    <dxf>
      <fill>
        <patternFill patternType="solid">
          <fgColor rgb="FFFF9999"/>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J99"/>
  <sheetViews>
    <sheetView zoomScale="99" workbookViewId="0">
      <pane ySplit="5" topLeftCell="A6" activePane="bottomLeft" state="frozen"/>
      <selection pane="bottomLeft" activeCell="I76" sqref="I76:J101"/>
    </sheetView>
  </sheetViews>
  <sheetFormatPr baseColWidth="8" defaultRowHeight="14.4"/>
  <cols>
    <col width="40" customWidth="1" style="74" min="1" max="1"/>
    <col width="12" bestFit="1" customWidth="1" style="64" min="2" max="2"/>
    <col width="15" bestFit="1" customWidth="1" style="64" min="3" max="3"/>
    <col width="24" customWidth="1" style="64" min="4" max="4"/>
    <col width="17" customWidth="1" style="64" min="5" max="6"/>
    <col width="40" customWidth="1" style="64" min="7" max="7"/>
    <col width="37" customWidth="1" style="64" min="8" max="8"/>
    <col width="16" customWidth="1" style="64" min="9" max="9"/>
    <col width="12" customWidth="1" style="64" min="10" max="10"/>
    <col width="8.88671875" customWidth="1" style="64" min="11" max="16384"/>
  </cols>
  <sheetData>
    <row r="1" ht="28.5" customHeight="1" s="44">
      <c r="A1" s="63" t="inlineStr">
        <is>
          <t>📊 MASTER DATA — 비용 파라미터 (수정 시 전 시트 자동 반영)</t>
        </is>
      </c>
      <c r="B1" s="79" t="n"/>
      <c r="C1" s="79" t="n"/>
      <c r="D1" s="79" t="n"/>
      <c r="E1" s="79" t="n"/>
      <c r="F1" s="79" t="n"/>
      <c r="G1" s="79" t="n"/>
      <c r="H1" s="80" t="n"/>
    </row>
    <row r="2">
      <c r="A2" s="72" t="inlineStr">
        <is>
          <t>⚠️ 🟡노란색=직접입력 | 🔵파란색=자동계산 | ⬜빈칸=신규항목 추가용</t>
        </is>
      </c>
    </row>
    <row r="3">
      <c r="A3" s="72" t="inlineStr">
        <is>
          <t xml:space="preserve">    새 코스·호텔·편명 추가는 빈칸에 직접 입력 → 자동으로 드롭다운에 반영</t>
        </is>
      </c>
    </row>
    <row r="4"/>
    <row r="5">
      <c r="A5" s="65" t="inlineStr">
        <is>
          <t>⛳ GOLF COURSES (1인 1라운드, USD)</t>
        </is>
      </c>
      <c r="B5" s="79" t="n"/>
      <c r="C5" s="79" t="n"/>
      <c r="D5" s="79" t="n"/>
      <c r="E5" s="79" t="n"/>
      <c r="F5" s="79" t="n"/>
      <c r="G5" s="79" t="n"/>
      <c r="H5" s="80" t="n"/>
    </row>
    <row r="6">
      <c r="A6" s="75" t="inlineStr">
        <is>
          <t>Course</t>
        </is>
      </c>
      <c r="B6" s="60" t="inlineStr">
        <is>
          <t>Cost</t>
        </is>
      </c>
      <c r="C6" s="60" t="inlineStr">
        <is>
          <t>Sell</t>
        </is>
      </c>
      <c r="D6" s="58" t="inlineStr">
        <is>
          <t>Margin</t>
        </is>
      </c>
      <c r="E6" s="80" t="n"/>
      <c r="F6" s="60" t="inlineStr">
        <is>
          <t>Replay Rate Cost</t>
        </is>
      </c>
      <c r="G6" s="58" t="inlineStr">
        <is>
          <t>Notes</t>
        </is>
      </c>
      <c r="H6" s="58" t="n"/>
    </row>
    <row r="7">
      <c r="A7" s="81" t="n"/>
      <c r="B7" s="81" t="n"/>
      <c r="C7" s="81" t="n"/>
      <c r="D7" s="60" t="inlineStr">
        <is>
          <t>$</t>
        </is>
      </c>
      <c r="E7" s="60" t="inlineStr">
        <is>
          <t>%</t>
        </is>
      </c>
      <c r="F7" s="81" t="n"/>
      <c r="G7" s="58" t="n"/>
      <c r="H7" s="58" t="n"/>
    </row>
    <row r="8">
      <c r="A8" s="66" t="inlineStr">
        <is>
          <t>Hidden Valley GC</t>
        </is>
      </c>
      <c r="B8" s="62" t="n">
        <v>85</v>
      </c>
      <c r="C8" s="62" t="n">
        <v>130</v>
      </c>
      <c r="D8" s="61">
        <f>IF(A8="","",C8-B8)</f>
        <v/>
      </c>
      <c r="E8" s="76">
        <f>IF(A8="","",D8/B8)</f>
        <v/>
      </c>
      <c r="F8" s="62" t="n">
        <v>45</v>
      </c>
      <c r="G8" s="67" t="inlineStr">
        <is>
          <t>9 stamps = 1free round</t>
        </is>
      </c>
    </row>
    <row r="9">
      <c r="A9" s="66" t="inlineStr">
        <is>
          <t>Sandpiper GC</t>
        </is>
      </c>
      <c r="B9" s="62" t="n">
        <v>130</v>
      </c>
      <c r="C9" s="62" t="n">
        <v>250</v>
      </c>
      <c r="D9" s="61">
        <f>IF(A9="","",C9-B9)</f>
        <v/>
      </c>
      <c r="E9" s="76">
        <f>IF(A9="","",D9/B9)</f>
        <v/>
      </c>
      <c r="F9" s="62" t="n">
        <v>120</v>
      </c>
      <c r="G9" s="67" t="inlineStr">
        <is>
          <t>underpar deal, free replay</t>
        </is>
      </c>
    </row>
    <row r="10">
      <c r="A10" s="66" t="inlineStr">
        <is>
          <t>Trump National LA</t>
        </is>
      </c>
      <c r="B10" s="62" t="n">
        <v>210</v>
      </c>
      <c r="C10" s="62" t="n">
        <v>450</v>
      </c>
      <c r="D10" s="61">
        <f>IF(A10="","",C10-B10)</f>
        <v/>
      </c>
      <c r="E10" s="76">
        <f>IF(A10="","",D10/B10)</f>
        <v/>
      </c>
      <c r="F10" s="62" t="n">
        <v>111</v>
      </c>
      <c r="G10" s="68" t="n"/>
    </row>
    <row r="11">
      <c r="A11" s="66" t="inlineStr">
        <is>
          <t>다른특별한코스</t>
        </is>
      </c>
      <c r="B11" s="62" t="n"/>
      <c r="C11" s="62" t="n"/>
      <c r="D11" s="61">
        <f>IF(A11="","",C11-B11)</f>
        <v/>
      </c>
      <c r="E11" s="76">
        <f>IF(A11="","",D11/B11)</f>
        <v/>
      </c>
      <c r="F11" s="62" t="n"/>
      <c r="G11" s="68" t="n"/>
    </row>
    <row r="12">
      <c r="A12" s="66" t="n"/>
      <c r="B12" s="62" t="n"/>
      <c r="C12" s="62" t="n"/>
      <c r="D12" s="61">
        <f>IF(A12="","",C12-B12)</f>
        <v/>
      </c>
      <c r="E12" s="76">
        <f>IF(A12="","",D12/B12)</f>
        <v/>
      </c>
      <c r="F12" s="62" t="n"/>
      <c r="G12" s="68" t="n"/>
    </row>
    <row r="13">
      <c r="A13" s="66" t="n"/>
      <c r="B13" s="62" t="n"/>
      <c r="C13" s="62" t="n"/>
      <c r="D13" s="61">
        <f>IF(A13="","",C13-B13)</f>
        <v/>
      </c>
      <c r="E13" s="76">
        <f>IF(A13="","",D13/B13)</f>
        <v/>
      </c>
      <c r="F13" s="62" t="n"/>
      <c r="G13" s="68" t="n"/>
    </row>
    <row r="14">
      <c r="A14" s="66" t="n"/>
      <c r="B14" s="62" t="n"/>
      <c r="C14" s="62" t="n"/>
      <c r="D14" s="61">
        <f>IF(A14="","",C14-B14)</f>
        <v/>
      </c>
      <c r="E14" s="76">
        <f>IF(A14="","",D14/B14)</f>
        <v/>
      </c>
      <c r="F14" s="62" t="n"/>
      <c r="G14" s="68" t="n"/>
    </row>
    <row r="15">
      <c r="A15" s="66" t="n"/>
      <c r="B15" s="62" t="n"/>
      <c r="C15" s="62" t="n"/>
      <c r="D15" s="61">
        <f>IF(A15="","",C15-B15)</f>
        <v/>
      </c>
      <c r="E15" s="76">
        <f>IF(A15="","",D15/B15)</f>
        <v/>
      </c>
      <c r="F15" s="62" t="n"/>
      <c r="G15" s="68" t="n"/>
    </row>
    <row r="16">
      <c r="E16" s="76">
        <f>IF(A16="","",D16/B16)</f>
        <v/>
      </c>
    </row>
    <row r="17">
      <c r="E17" s="76">
        <f>IF(A17="","",D17/B17)</f>
        <v/>
      </c>
    </row>
    <row r="18">
      <c r="A18" s="69" t="inlineStr">
        <is>
          <t>🏨 HOTEL (1인 1박, USD)</t>
        </is>
      </c>
      <c r="B18" s="79" t="n"/>
      <c r="C18" s="79" t="n"/>
      <c r="D18" s="79" t="n"/>
      <c r="E18" s="79" t="n"/>
      <c r="F18" s="79" t="n"/>
      <c r="G18" s="79" t="n"/>
      <c r="H18" s="80" t="n"/>
    </row>
    <row r="19">
      <c r="A19" s="75" t="inlineStr">
        <is>
          <t>Stay</t>
        </is>
      </c>
      <c r="B19" s="58" t="inlineStr">
        <is>
          <t>Cost/night</t>
        </is>
      </c>
      <c r="C19" s="58" t="inlineStr">
        <is>
          <t>Sell/night</t>
        </is>
      </c>
      <c r="D19" s="58" t="inlineStr">
        <is>
          <t>Margin</t>
        </is>
      </c>
      <c r="E19" s="80" t="n"/>
      <c r="F19" s="58" t="n"/>
      <c r="G19" s="58" t="inlineStr">
        <is>
          <t>Notes</t>
        </is>
      </c>
      <c r="H19" s="58" t="n"/>
    </row>
    <row r="20">
      <c r="A20" s="81" t="n"/>
      <c r="B20" s="81" t="n"/>
      <c r="C20" s="81" t="n"/>
      <c r="D20" s="58" t="inlineStr">
        <is>
          <t>($)</t>
        </is>
      </c>
      <c r="E20" s="58" t="inlineStr">
        <is>
          <t>(%)</t>
        </is>
      </c>
      <c r="F20" s="58" t="n"/>
      <c r="G20" s="81" t="n"/>
      <c r="H20" s="58" t="n"/>
    </row>
    <row r="21" ht="16.5" customHeight="1" s="44">
      <c r="A21" s="66" t="inlineStr">
        <is>
          <t>Beverly Wilshire (5★) / Same Tier</t>
        </is>
      </c>
      <c r="B21" s="62" t="n"/>
      <c r="C21" s="62" t="n"/>
      <c r="D21" s="61">
        <f>IF(A21="","",C21-B21)</f>
        <v/>
      </c>
      <c r="E21" s="76">
        <f>IF(A21="","",D21/B21)</f>
        <v/>
      </c>
      <c r="G21" s="68" t="n"/>
    </row>
    <row r="22">
      <c r="A22" s="66" t="inlineStr">
        <is>
          <t>숙소1</t>
        </is>
      </c>
      <c r="B22" s="62" t="n"/>
      <c r="C22" s="62" t="n"/>
      <c r="D22" s="61">
        <f>IF(A22="","",C22-B22)</f>
        <v/>
      </c>
      <c r="E22" s="76">
        <f>IF(A22="","",D22/B22)</f>
        <v/>
      </c>
      <c r="G22" s="68" t="n"/>
    </row>
    <row r="23">
      <c r="A23" s="66" t="inlineStr">
        <is>
          <t>airbnb</t>
        </is>
      </c>
      <c r="B23" s="62" t="n"/>
      <c r="C23" s="62" t="n"/>
      <c r="D23" s="61">
        <f>IF(A23="","",C23-B23)</f>
        <v/>
      </c>
      <c r="E23" s="76">
        <f>IF(A23="","",D23/B23)</f>
        <v/>
      </c>
      <c r="G23" s="68" t="n"/>
    </row>
    <row r="24">
      <c r="A24" s="66" t="n"/>
      <c r="B24" s="62" t="n"/>
      <c r="C24" s="62" t="n"/>
      <c r="D24" s="61">
        <f>IF(A24="","",C24-B24)</f>
        <v/>
      </c>
      <c r="E24" s="76">
        <f>IF(A24="","",D24/B24)</f>
        <v/>
      </c>
      <c r="G24" s="68" t="n"/>
    </row>
    <row r="25">
      <c r="A25" s="66" t="n"/>
      <c r="B25" s="62" t="n"/>
      <c r="C25" s="62" t="n"/>
      <c r="D25" s="61">
        <f>IF(A25="","",C25-B25)</f>
        <v/>
      </c>
      <c r="E25" s="76">
        <f>IF(A25="","",D25/B25)</f>
        <v/>
      </c>
      <c r="G25" s="68" t="n"/>
    </row>
    <row r="26">
      <c r="A26" s="66" t="n"/>
      <c r="B26" s="62" t="n"/>
      <c r="C26" s="62" t="n"/>
      <c r="D26" s="61">
        <f>IF(A26="","",C26-B26)</f>
        <v/>
      </c>
      <c r="E26" s="76">
        <f>IF(A26="","",D26/B26)</f>
        <v/>
      </c>
      <c r="G26" s="68" t="n"/>
    </row>
    <row r="27"/>
    <row r="28">
      <c r="A28" s="65" t="inlineStr">
        <is>
          <t>🚐 TRANSPORT (1인 기준, 4인 1조, USD)</t>
        </is>
      </c>
      <c r="B28" s="79" t="n"/>
      <c r="C28" s="79" t="n"/>
      <c r="D28" s="79" t="n"/>
      <c r="E28" s="79" t="n"/>
      <c r="F28" s="79" t="n"/>
      <c r="G28" s="79" t="n"/>
      <c r="H28" s="80" t="n"/>
    </row>
    <row r="29">
      <c r="A29" s="75" t="inlineStr">
        <is>
          <t>Item</t>
        </is>
      </c>
      <c r="B29" s="58" t="inlineStr">
        <is>
          <t>Cost/p</t>
        </is>
      </c>
      <c r="C29" s="58" t="inlineStr">
        <is>
          <t>Sell/p</t>
        </is>
      </c>
      <c r="D29" s="58" t="inlineStr">
        <is>
          <t>Margin ($)</t>
        </is>
      </c>
      <c r="E29" s="80" t="n"/>
      <c r="F29" s="58" t="n"/>
      <c r="G29" s="58" t="inlineStr">
        <is>
          <t>Notes</t>
        </is>
      </c>
      <c r="H29" s="58" t="n"/>
    </row>
    <row r="30">
      <c r="A30" s="81" t="n"/>
      <c r="B30" s="81" t="n"/>
      <c r="C30" s="81" t="n"/>
      <c r="D30" s="58" t="inlineStr">
        <is>
          <t>($)</t>
        </is>
      </c>
      <c r="E30" s="58" t="inlineStr">
        <is>
          <t>(%)</t>
        </is>
      </c>
      <c r="F30" s="58" t="n"/>
      <c r="G30" s="81" t="n"/>
      <c r="H30" s="58" t="n"/>
    </row>
    <row r="31" ht="16.5" customHeight="1" s="44">
      <c r="A31" s="66" t="inlineStr">
        <is>
          <t>airport&lt;-&gt;stay roundtrip</t>
        </is>
      </c>
      <c r="B31" s="62" t="n"/>
      <c r="C31" s="62" t="n"/>
      <c r="D31" s="61">
        <f>IF(A31="","",C31-B31)</f>
        <v/>
      </c>
      <c r="E31" s="76">
        <f>IF(A31="","",D31/B31)</f>
        <v/>
      </c>
      <c r="G31" s="68" t="n"/>
    </row>
    <row r="32">
      <c r="A32" s="66" t="inlineStr">
        <is>
          <t>Driver/Guide + Van (일당)</t>
        </is>
      </c>
      <c r="B32" s="62" t="n"/>
      <c r="C32" s="62" t="n"/>
      <c r="D32" s="61">
        <f>IF(A32="","",C32-B32)</f>
        <v/>
      </c>
      <c r="E32" s="76">
        <f>IF(A32="","",D32/B32)</f>
        <v/>
      </c>
      <c r="G32" s="68" t="n"/>
    </row>
    <row r="33">
      <c r="A33" s="66" t="inlineStr">
        <is>
          <t>가이드만</t>
        </is>
      </c>
      <c r="B33" s="62" t="n"/>
      <c r="C33" s="62" t="n"/>
      <c r="D33" s="61">
        <f>IF(A33="","",C33-B33)</f>
        <v/>
      </c>
      <c r="E33" s="76">
        <f>IF(A33="","",D33/B33)</f>
        <v/>
      </c>
      <c r="G33" s="68" t="n"/>
    </row>
    <row r="34">
      <c r="A34" s="66" t="inlineStr">
        <is>
          <t>차종1</t>
        </is>
      </c>
      <c r="B34" s="62" t="n"/>
      <c r="C34" s="62" t="n"/>
      <c r="D34" s="61">
        <f>IF(A34="","",C34-B34)</f>
        <v/>
      </c>
      <c r="E34" s="76">
        <f>IF(A34="","",D34/B34)</f>
        <v/>
      </c>
      <c r="G34" s="68" t="n"/>
    </row>
    <row r="35">
      <c r="A35" s="66" t="n"/>
      <c r="B35" s="62" t="n"/>
      <c r="C35" s="62" t="n"/>
      <c r="D35" s="61">
        <f>IF(A35="","",C35-B35)</f>
        <v/>
      </c>
      <c r="E35" s="76">
        <f>IF(A35="","",D35/B35)</f>
        <v/>
      </c>
      <c r="G35" s="68" t="n"/>
    </row>
    <row r="36">
      <c r="A36" s="66" t="n"/>
      <c r="B36" s="62" t="n"/>
      <c r="C36" s="62" t="n"/>
      <c r="D36" s="61">
        <f>IF(A36="","",C36-B36)</f>
        <v/>
      </c>
      <c r="E36" s="76">
        <f>IF(A36="","",D36/B36)</f>
        <v/>
      </c>
      <c r="G36" s="68" t="n"/>
    </row>
    <row r="37">
      <c r="A37" s="66" t="n"/>
      <c r="B37" s="62" t="n"/>
      <c r="C37" s="62" t="n"/>
      <c r="D37" s="61">
        <f>IF(A37="","",C37-B37)</f>
        <v/>
      </c>
      <c r="E37" s="76">
        <f>IF(A37="","",D37/B37)</f>
        <v/>
      </c>
      <c r="G37" s="68" t="n"/>
    </row>
    <row r="38"/>
    <row r="39">
      <c r="A39" s="65" t="inlineStr">
        <is>
          <t>🍽️ MEALS (1인 1끼, USD)</t>
        </is>
      </c>
      <c r="B39" s="79" t="n"/>
      <c r="C39" s="79" t="n"/>
      <c r="D39" s="79" t="n"/>
      <c r="E39" s="79" t="n"/>
      <c r="F39" s="79" t="n"/>
      <c r="G39" s="79" t="n"/>
      <c r="H39" s="80" t="n"/>
    </row>
    <row r="40">
      <c r="A40" s="75" t="inlineStr">
        <is>
          <t>Meal</t>
        </is>
      </c>
      <c r="B40" s="58" t="inlineStr">
        <is>
          <t>Cost</t>
        </is>
      </c>
      <c r="C40" s="58" t="inlineStr">
        <is>
          <t>Sell</t>
        </is>
      </c>
      <c r="D40" s="58" t="inlineStr">
        <is>
          <t>Margin ($)</t>
        </is>
      </c>
      <c r="E40" s="80" t="n"/>
      <c r="F40" s="58" t="n"/>
      <c r="G40" s="58" t="inlineStr">
        <is>
          <t>Notes</t>
        </is>
      </c>
      <c r="H40" s="58" t="n"/>
    </row>
    <row r="41">
      <c r="A41" s="81" t="n"/>
      <c r="B41" s="81" t="n"/>
      <c r="C41" s="81" t="n"/>
      <c r="D41" s="58" t="inlineStr">
        <is>
          <t>($)</t>
        </is>
      </c>
      <c r="E41" s="58" t="inlineStr">
        <is>
          <t>(%)</t>
        </is>
      </c>
      <c r="F41" s="58" t="n"/>
      <c r="G41" s="81" t="n"/>
      <c r="H41" s="58" t="n"/>
    </row>
    <row r="42">
      <c r="A42" s="66" t="inlineStr">
        <is>
          <t>Breakfast (Hotel)</t>
        </is>
      </c>
      <c r="B42" s="62" t="n"/>
      <c r="C42" s="62" t="n"/>
      <c r="D42" s="61">
        <f>IF(A42="","",C42-B42)</f>
        <v/>
      </c>
      <c r="E42" s="76">
        <f>IF(A42="","",D42/B42)</f>
        <v/>
      </c>
      <c r="G42" s="68" t="inlineStr">
        <is>
          <t>Daily included</t>
        </is>
      </c>
    </row>
    <row r="43">
      <c r="A43" s="66" t="inlineStr">
        <is>
          <t>Dinner (Regular)</t>
        </is>
      </c>
      <c r="B43" s="62" t="n"/>
      <c r="C43" s="62" t="n"/>
      <c r="D43" s="61">
        <f>IF(A43="","",C43-B43)</f>
        <v/>
      </c>
      <c r="E43" s="76">
        <f>IF(A43="","",D43/B43)</f>
        <v/>
      </c>
      <c r="G43" s="68" t="inlineStr">
        <is>
          <t>Daily included</t>
        </is>
      </c>
    </row>
    <row r="44">
      <c r="A44" s="66" t="inlineStr">
        <is>
          <t>Exclusive Dinner (Michelin/Fine)</t>
        </is>
      </c>
      <c r="B44" s="62" t="n"/>
      <c r="C44" s="62" t="n"/>
      <c r="D44" s="61">
        <f>IF(A44="","",C44-B44)</f>
        <v/>
      </c>
      <c r="E44" s="76">
        <f>IF(A44="","",D44/B44)</f>
        <v/>
      </c>
      <c r="G44" s="68" t="inlineStr">
        <is>
          <t>Regular dinner</t>
        </is>
      </c>
    </row>
    <row r="45">
      <c r="A45" s="66" t="inlineStr">
        <is>
          <t>Lunch</t>
        </is>
      </c>
      <c r="B45" s="62" t="n"/>
      <c r="C45" s="62" t="n"/>
      <c r="D45" s="61">
        <f>IF(A45="","",C45-B45)</f>
        <v/>
      </c>
      <c r="E45" s="76">
        <f>IF(A45="","",D45/B45)</f>
        <v/>
      </c>
      <c r="G45" s="68" t="inlineStr">
        <is>
          <t>2x per trip</t>
        </is>
      </c>
    </row>
    <row r="46">
      <c r="A46" s="66" t="n"/>
      <c r="B46" s="62" t="n"/>
      <c r="C46" s="62" t="n"/>
      <c r="D46" s="61">
        <f>IF(A46="","",C46-B46)</f>
        <v/>
      </c>
      <c r="E46" s="76">
        <f>IF(A46="","",D46/B46)</f>
        <v/>
      </c>
      <c r="G46" s="68" t="n"/>
    </row>
    <row r="47">
      <c r="A47" s="66" t="n"/>
      <c r="B47" s="62" t="n"/>
      <c r="C47" s="62" t="n"/>
      <c r="D47" s="61">
        <f>IF(A47="","",C47-B47)</f>
        <v/>
      </c>
      <c r="E47" s="76">
        <f>IF(A47="","",D47/B47)</f>
        <v/>
      </c>
      <c r="G47" s="68" t="n"/>
    </row>
    <row r="48">
      <c r="A48" s="66" t="n"/>
      <c r="B48" s="62" t="n"/>
      <c r="C48" s="62" t="n"/>
      <c r="D48" s="61">
        <f>IF(A48="","",C48-B48)</f>
        <v/>
      </c>
      <c r="E48" s="76">
        <f>IF(A48="","",D48/B48)</f>
        <v/>
      </c>
      <c r="G48" s="68" t="n"/>
    </row>
    <row r="49">
      <c r="A49" s="66" t="n"/>
      <c r="B49" s="62" t="n"/>
      <c r="C49" s="62" t="n"/>
      <c r="D49" s="61">
        <f>IF(A49="","",C49-B49)</f>
        <v/>
      </c>
      <c r="E49" s="76">
        <f>IF(A49="","",D49/B49)</f>
        <v/>
      </c>
      <c r="G49" s="68" t="n"/>
    </row>
    <row r="50">
      <c r="A50" s="66" t="n"/>
      <c r="B50" s="62" t="n"/>
      <c r="C50" s="62" t="n"/>
      <c r="D50" s="61">
        <f>IF(A50="","",C50-B50)</f>
        <v/>
      </c>
      <c r="E50" s="76">
        <f>IF(A50="","",D50/B50)</f>
        <v/>
      </c>
      <c r="G50" s="68" t="n"/>
    </row>
    <row r="51"/>
    <row r="52">
      <c r="A52" s="65" t="inlineStr">
        <is>
          <t>📦 OTHER (1인 1일, USD)</t>
        </is>
      </c>
      <c r="B52" s="79" t="n"/>
      <c r="C52" s="79" t="n"/>
      <c r="D52" s="79" t="n"/>
      <c r="E52" s="79" t="n"/>
      <c r="F52" s="79" t="n"/>
      <c r="G52" s="79" t="n"/>
      <c r="H52" s="80" t="n"/>
    </row>
    <row r="53">
      <c r="A53" s="75" t="inlineStr">
        <is>
          <t>Item</t>
        </is>
      </c>
      <c r="B53" s="58" t="inlineStr">
        <is>
          <t>Cost</t>
        </is>
      </c>
      <c r="C53" s="58" t="inlineStr">
        <is>
          <t>Sell</t>
        </is>
      </c>
      <c r="D53" s="58" t="inlineStr">
        <is>
          <t>Margin ($)</t>
        </is>
      </c>
      <c r="E53" s="80" t="n"/>
      <c r="F53" s="58" t="n"/>
      <c r="G53" s="58" t="inlineStr">
        <is>
          <t>Notes</t>
        </is>
      </c>
      <c r="H53" s="58" t="n"/>
    </row>
    <row r="54">
      <c r="A54" s="81" t="n"/>
      <c r="B54" s="81" t="n"/>
      <c r="C54" s="81" t="n"/>
      <c r="D54" s="58" t="inlineStr">
        <is>
          <t>($)</t>
        </is>
      </c>
      <c r="E54" s="58" t="inlineStr">
        <is>
          <t>(%)</t>
        </is>
      </c>
      <c r="F54" s="58" t="n"/>
      <c r="G54" s="81" t="n"/>
      <c r="H54" s="58" t="n"/>
    </row>
    <row r="55">
      <c r="A55" s="71" t="inlineStr">
        <is>
          <t>Insurance</t>
        </is>
      </c>
      <c r="B55" s="62" t="n"/>
      <c r="C55" s="62" t="n"/>
      <c r="D55" s="61">
        <f>IF(A55="","",C55-B55)</f>
        <v/>
      </c>
      <c r="E55" s="76">
        <f>IF(A55="","",D55/B55)</f>
        <v/>
      </c>
      <c r="G55" s="68" t="inlineStr">
        <is>
          <t>Per person per day</t>
        </is>
      </c>
    </row>
    <row r="56">
      <c r="A56" s="66" t="n"/>
      <c r="B56" s="62" t="n"/>
      <c r="C56" s="62" t="n"/>
      <c r="D56" s="61">
        <f>IF(A56="","",C56-B56)</f>
        <v/>
      </c>
      <c r="E56" s="76" t="n"/>
      <c r="G56" s="68" t="n"/>
    </row>
    <row r="57">
      <c r="A57" s="66" t="n"/>
      <c r="B57" s="62" t="n"/>
      <c r="C57" s="62" t="n"/>
      <c r="D57" s="61">
        <f>IF(A57="","",C57-B57)</f>
        <v/>
      </c>
      <c r="E57" s="76" t="n"/>
      <c r="G57" s="68" t="n"/>
    </row>
    <row r="58">
      <c r="A58" s="66" t="n"/>
      <c r="B58" s="62" t="n"/>
      <c r="C58" s="62" t="n"/>
      <c r="D58" s="61">
        <f>IF(A58="","",C58-B58)</f>
        <v/>
      </c>
      <c r="E58" s="76" t="n"/>
      <c r="G58" s="68" t="n"/>
    </row>
    <row r="59">
      <c r="A59" s="66" t="n"/>
      <c r="B59" s="62" t="n"/>
      <c r="C59" s="62" t="n"/>
      <c r="D59" s="61">
        <f>IF(A59="","",C59-B59)</f>
        <v/>
      </c>
      <c r="E59" s="76" t="n"/>
      <c r="G59" s="68" t="n"/>
    </row>
    <row r="60">
      <c r="A60" s="66" t="n"/>
      <c r="B60" s="62" t="n"/>
      <c r="C60" s="62" t="n"/>
      <c r="D60" s="61">
        <f>IF(A60="","",C60-B60)</f>
        <v/>
      </c>
      <c r="E60" s="76" t="n"/>
      <c r="G60" s="68" t="n"/>
    </row>
    <row r="61"/>
    <row r="62">
      <c r="A62" s="70" t="inlineStr">
        <is>
          <t>🎯 ACTIVITIES &amp; EXPERIENCES (1인 1회, USD)</t>
        </is>
      </c>
      <c r="B62" s="79" t="n"/>
      <c r="C62" s="79" t="n"/>
      <c r="D62" s="79" t="n"/>
      <c r="E62" s="79" t="n"/>
      <c r="F62" s="79" t="n"/>
      <c r="G62" s="79" t="n"/>
      <c r="H62" s="80" t="n"/>
    </row>
    <row r="63">
      <c r="A63" s="1" t="inlineStr">
        <is>
          <t>Activity</t>
        </is>
      </c>
      <c r="B63" s="1" t="inlineStr">
        <is>
          <t>Cost ($)</t>
        </is>
      </c>
      <c r="C63" s="1" t="inlineStr">
        <is>
          <t>Sell ($)</t>
        </is>
      </c>
      <c r="D63" s="58" t="inlineStr">
        <is>
          <t>Margin ($)</t>
        </is>
      </c>
      <c r="E63" s="80" t="n"/>
      <c r="G63" s="1" t="inlineStr">
        <is>
          <t>Per Group?</t>
        </is>
      </c>
      <c r="H63" s="1" t="inlineStr">
        <is>
          <t>Notes</t>
        </is>
      </c>
    </row>
    <row r="64" ht="34.5" customHeight="1" s="44">
      <c r="A64" s="81" t="n"/>
      <c r="B64" s="81" t="n"/>
      <c r="C64" s="81" t="n"/>
      <c r="D64" s="58" t="inlineStr">
        <is>
          <t>($)</t>
        </is>
      </c>
      <c r="E64" s="58" t="inlineStr">
        <is>
          <t>(%)</t>
        </is>
      </c>
      <c r="G64" s="81" t="n"/>
      <c r="H64" s="81" t="n"/>
    </row>
    <row r="65">
      <c r="A65" s="74" t="inlineStr">
        <is>
          <t>Beach/Surf Lesson</t>
        </is>
      </c>
      <c r="B65" s="4" t="n">
        <v>60</v>
      </c>
      <c r="C65" s="4" t="n">
        <v>100</v>
      </c>
      <c r="D65" s="36">
        <f>IF(A65="","",C65-B65)</f>
        <v/>
      </c>
      <c r="G65" s="64" t="inlineStr">
        <is>
          <t>1p</t>
        </is>
      </c>
      <c r="H65" s="64" t="inlineStr">
        <is>
          <t>2hr session; equipment incl.</t>
        </is>
      </c>
    </row>
    <row r="66">
      <c r="A66" s="74" t="inlineStr">
        <is>
          <t>Local Hiking (Griffith/Runyon)</t>
        </is>
      </c>
      <c r="B66" s="4" t="n">
        <v>0</v>
      </c>
      <c r="C66" s="4" t="n">
        <v>30</v>
      </c>
      <c r="D66" s="36">
        <f>IF(A66="","",C66-B66)</f>
        <v/>
      </c>
      <c r="G66" s="64" t="inlineStr">
        <is>
          <t>1p</t>
        </is>
      </c>
      <c r="H66" s="64" t="inlineStr">
        <is>
          <t>Guided tour included</t>
        </is>
      </c>
    </row>
    <row r="67">
      <c r="A67" s="74" t="inlineStr">
        <is>
          <t>NBA/MLB Game (Ticket)</t>
        </is>
      </c>
      <c r="B67" s="4" t="n">
        <v>120</v>
      </c>
      <c r="C67" s="4" t="n">
        <v>180</v>
      </c>
      <c r="D67" s="36">
        <f>IF(A67="","",C67-B67)</f>
        <v/>
      </c>
      <c r="G67" s="64" t="inlineStr">
        <is>
          <t>1p</t>
        </is>
      </c>
      <c r="H67" s="64" t="inlineStr">
        <is>
          <t>Seasonal; group rates available</t>
        </is>
      </c>
    </row>
    <row r="68">
      <c r="A68" s="74" t="inlineStr">
        <is>
          <t>Sports Bar Experience</t>
        </is>
      </c>
      <c r="B68" s="4" t="n">
        <v>60</v>
      </c>
      <c r="C68" s="4" t="n">
        <v>90</v>
      </c>
      <c r="D68" s="36">
        <f>IF(A68="","",C68-B68)</f>
        <v/>
      </c>
      <c r="G68" s="64" t="inlineStr">
        <is>
          <t>1p</t>
        </is>
      </c>
      <c r="H68" s="64" t="inlineStr">
        <is>
          <t>Premium sports bar with food/drinks</t>
        </is>
      </c>
    </row>
    <row r="69">
      <c r="D69" s="36">
        <f>IF(A69="","",C69-B69)</f>
        <v/>
      </c>
    </row>
    <row r="70">
      <c r="D70" s="36">
        <f>IF(A70="","",C70-B70)</f>
        <v/>
      </c>
    </row>
    <row r="71">
      <c r="D71" s="36">
        <f>IF(A71="","",C71-B71)</f>
        <v/>
      </c>
    </row>
    <row r="72">
      <c r="D72" s="36">
        <f>IF(A72="","",C72-B72)</f>
        <v/>
      </c>
    </row>
    <row r="73">
      <c r="D73" s="36">
        <f>IF(A73="","",C73-B73)</f>
        <v/>
      </c>
    </row>
    <row r="74"/>
    <row r="75">
      <c r="A75" s="65" t="inlineStr">
        <is>
          <t>✈️ FLIGHT SCHEDULE — ICN ↔ LAX (현지시간 기준)</t>
        </is>
      </c>
      <c r="B75" s="79" t="n"/>
      <c r="C75" s="79" t="n"/>
      <c r="D75" s="79" t="n"/>
      <c r="E75" s="79" t="n"/>
      <c r="F75" s="79" t="n"/>
      <c r="G75" s="79" t="n"/>
      <c r="H75" s="80" t="n"/>
    </row>
    <row r="76">
      <c r="A76" s="75" t="inlineStr">
        <is>
          <t>Flight#</t>
        </is>
      </c>
      <c r="B76" s="58" t="inlineStr">
        <is>
          <t>Airline</t>
        </is>
      </c>
      <c r="C76" s="58" t="inlineStr">
        <is>
          <t>Dep Time (출발)</t>
        </is>
      </c>
      <c r="D76" s="58" t="inlineStr">
        <is>
          <t>Arr Time (도착)</t>
        </is>
      </c>
      <c r="E76" s="58" t="inlineStr">
        <is>
          <t>Direction</t>
        </is>
      </c>
      <c r="F76" s="58" t="n"/>
      <c r="G76" s="58" t="inlineStr">
        <is>
          <t>Notes</t>
        </is>
      </c>
      <c r="H76" s="1" t="inlineStr">
        <is>
          <t>Seat Class</t>
        </is>
      </c>
      <c r="I76" s="1" t="inlineStr">
        <is>
          <t>Duration (hrs)</t>
        </is>
      </c>
      <c r="J76" s="1" t="inlineStr">
        <is>
          <t>Aircraft</t>
        </is>
      </c>
    </row>
    <row r="77">
      <c r="A77" s="66" t="inlineStr">
        <is>
          <t>KE011</t>
        </is>
      </c>
      <c r="B77" s="68" t="inlineStr">
        <is>
          <t>Korean Air</t>
        </is>
      </c>
      <c r="C77" s="68" t="inlineStr">
        <is>
          <t>19:40</t>
        </is>
      </c>
      <c r="D77" s="68" t="inlineStr">
        <is>
          <t>14:30</t>
        </is>
      </c>
      <c r="E77" s="68" t="inlineStr">
        <is>
          <t>ICN→LAX</t>
        </is>
      </c>
      <c r="F77" s="68" t="n"/>
      <c r="G77" s="68" t="inlineStr">
        <is>
          <t>Daily B747-8</t>
        </is>
      </c>
      <c r="H77" s="2" t="inlineStr">
        <is>
          <t>First | Prestige | Economy</t>
        </is>
      </c>
      <c r="I77" s="2" t="inlineStr">
        <is>
          <t>~11.5</t>
        </is>
      </c>
      <c r="J77" s="2" t="inlineStr">
        <is>
          <t>B747-8</t>
        </is>
      </c>
    </row>
    <row r="78" ht="34.5" customHeight="1" s="44">
      <c r="A78" s="66" t="inlineStr">
        <is>
          <t>KE017</t>
        </is>
      </c>
      <c r="B78" s="68" t="inlineStr">
        <is>
          <t>Korean Air</t>
        </is>
      </c>
      <c r="C78" s="68" t="inlineStr">
        <is>
          <t>14:30</t>
        </is>
      </c>
      <c r="D78" s="68" t="inlineStr">
        <is>
          <t>09:20</t>
        </is>
      </c>
      <c r="E78" s="68" t="inlineStr">
        <is>
          <t>ICN→LAX</t>
        </is>
      </c>
      <c r="F78" s="68" t="n"/>
      <c r="G78" s="68" t="inlineStr">
        <is>
          <t>Daily B777</t>
        </is>
      </c>
      <c r="H78" s="2" t="inlineStr">
        <is>
          <t>Prestige | Economy</t>
        </is>
      </c>
      <c r="I78" s="2" t="inlineStr">
        <is>
          <t>~11.5</t>
        </is>
      </c>
      <c r="J78" s="2" t="inlineStr">
        <is>
          <t>B777-300ER</t>
        </is>
      </c>
    </row>
    <row r="79">
      <c r="A79" s="66" t="inlineStr">
        <is>
          <t>OZ202</t>
        </is>
      </c>
      <c r="B79" s="68" t="inlineStr">
        <is>
          <t>Asiana</t>
        </is>
      </c>
      <c r="C79" s="68" t="inlineStr">
        <is>
          <t>14:40</t>
        </is>
      </c>
      <c r="D79" s="68" t="inlineStr">
        <is>
          <t>09:30</t>
        </is>
      </c>
      <c r="E79" s="68" t="inlineStr">
        <is>
          <t>ICN→LAX</t>
        </is>
      </c>
      <c r="F79" s="68" t="n"/>
      <c r="G79" s="68" t="inlineStr">
        <is>
          <t>Daily A380</t>
        </is>
      </c>
      <c r="H79" s="2" t="inlineStr">
        <is>
          <t>First Suite | Business | Economy</t>
        </is>
      </c>
      <c r="I79" s="2" t="inlineStr">
        <is>
          <t>~11.5</t>
        </is>
      </c>
      <c r="J79" s="2" t="inlineStr">
        <is>
          <t>A380-800</t>
        </is>
      </c>
    </row>
    <row r="80">
      <c r="A80" s="66" t="inlineStr">
        <is>
          <t>OZ204</t>
        </is>
      </c>
      <c r="B80" s="68" t="inlineStr">
        <is>
          <t>Asiana</t>
        </is>
      </c>
      <c r="C80" s="68" t="inlineStr">
        <is>
          <t>20:40</t>
        </is>
      </c>
      <c r="D80" s="68" t="inlineStr">
        <is>
          <t>15:30</t>
        </is>
      </c>
      <c r="E80" s="68" t="inlineStr">
        <is>
          <t>ICN→LAX</t>
        </is>
      </c>
      <c r="F80" s="68" t="n"/>
      <c r="G80" s="68" t="inlineStr">
        <is>
          <t>Daily A350</t>
        </is>
      </c>
      <c r="H80" s="2" t="inlineStr">
        <is>
          <t>Business | Economy</t>
        </is>
      </c>
      <c r="I80" s="2" t="inlineStr">
        <is>
          <t>~11.5</t>
        </is>
      </c>
      <c r="J80" s="2" t="inlineStr">
        <is>
          <t>A350-900</t>
        </is>
      </c>
    </row>
    <row r="81">
      <c r="A81" s="66" t="n"/>
      <c r="B81" s="68" t="n"/>
      <c r="C81" s="68" t="n"/>
      <c r="D81" s="68" t="n"/>
      <c r="E81" s="68" t="n"/>
      <c r="F81" s="68" t="n"/>
      <c r="G81" s="68" t="n"/>
    </row>
    <row r="82">
      <c r="A82" s="66" t="n"/>
      <c r="B82" s="68" t="n"/>
      <c r="C82" s="68" t="n"/>
      <c r="D82" s="68" t="n"/>
      <c r="E82" s="68" t="n"/>
      <c r="F82" s="68" t="n"/>
      <c r="G82" s="68" t="n"/>
    </row>
    <row r="83">
      <c r="A83" s="66" t="n"/>
      <c r="B83" s="68" t="n"/>
      <c r="C83" s="68" t="n"/>
      <c r="D83" s="68" t="n"/>
      <c r="E83" s="68" t="n"/>
      <c r="F83" s="68" t="n"/>
      <c r="G83" s="68" t="n"/>
    </row>
    <row r="84">
      <c r="A84" s="66" t="n"/>
      <c r="B84" s="68" t="n"/>
      <c r="C84" s="68" t="n"/>
      <c r="D84" s="68" t="n"/>
      <c r="E84" s="68" t="n"/>
      <c r="F84" s="68" t="n"/>
      <c r="G84" s="68" t="n"/>
    </row>
    <row r="85">
      <c r="A85" s="66" t="n"/>
      <c r="B85" s="68" t="n"/>
      <c r="C85" s="68" t="n"/>
      <c r="D85" s="68" t="n"/>
      <c r="E85" s="68" t="n"/>
      <c r="F85" s="68" t="n"/>
      <c r="G85" s="68" t="n"/>
    </row>
    <row r="86"/>
    <row r="87"/>
    <row r="88"/>
    <row r="89">
      <c r="A89" s="65" t="inlineStr">
        <is>
          <t>✈️ RETURN FLIGHTS (LAX → ICN)</t>
        </is>
      </c>
      <c r="B89" s="79" t="n"/>
      <c r="C89" s="79" t="n"/>
      <c r="D89" s="79" t="n"/>
      <c r="E89" s="79" t="n"/>
      <c r="F89" s="79" t="n"/>
      <c r="G89" s="79" t="n"/>
      <c r="H89" s="80" t="n"/>
    </row>
    <row r="90">
      <c r="A90" s="75" t="inlineStr">
        <is>
          <t>Flight#</t>
        </is>
      </c>
      <c r="B90" s="58" t="inlineStr">
        <is>
          <t>Airline</t>
        </is>
      </c>
      <c r="C90" s="58" t="inlineStr">
        <is>
          <t>Dep Time (출발)</t>
        </is>
      </c>
      <c r="D90" s="58" t="inlineStr">
        <is>
          <t>Arr Time (도착)</t>
        </is>
      </c>
      <c r="E90" s="58" t="inlineStr">
        <is>
          <t>Direction</t>
        </is>
      </c>
      <c r="F90" s="58" t="n"/>
      <c r="G90" s="58" t="inlineStr">
        <is>
          <t>Notes</t>
        </is>
      </c>
      <c r="H90" s="1" t="inlineStr">
        <is>
          <t>Seat Class</t>
        </is>
      </c>
      <c r="I90" s="1" t="inlineStr">
        <is>
          <t>Duration (hrs)</t>
        </is>
      </c>
      <c r="J90" s="1" t="inlineStr">
        <is>
          <t>Aircraft</t>
        </is>
      </c>
    </row>
    <row r="91">
      <c r="A91" s="66" t="inlineStr">
        <is>
          <t>KE012</t>
        </is>
      </c>
      <c r="B91" s="68" t="inlineStr">
        <is>
          <t>Korean Air</t>
        </is>
      </c>
      <c r="C91" s="68" t="inlineStr">
        <is>
          <t>23:50</t>
        </is>
      </c>
      <c r="D91" s="68" t="inlineStr">
        <is>
          <t>05:00+2</t>
        </is>
      </c>
      <c r="E91" s="68" t="inlineStr">
        <is>
          <t>LAX→ICN</t>
        </is>
      </c>
      <c r="F91" s="68" t="n"/>
      <c r="G91" s="68" t="inlineStr">
        <is>
          <t xml:space="preserve">Daily B747-8 </t>
        </is>
      </c>
      <c r="H91" s="2" t="inlineStr">
        <is>
          <t>First | Prestige | Economy</t>
        </is>
      </c>
      <c r="I91" s="2" t="inlineStr">
        <is>
          <t>~13</t>
        </is>
      </c>
      <c r="J91" s="2" t="inlineStr">
        <is>
          <t>B747-8</t>
        </is>
      </c>
    </row>
    <row r="92">
      <c r="A92" s="66" t="inlineStr">
        <is>
          <t>KE018</t>
        </is>
      </c>
      <c r="B92" s="68" t="inlineStr">
        <is>
          <t>Korean Air</t>
        </is>
      </c>
      <c r="C92" s="68" t="inlineStr">
        <is>
          <t>13:30</t>
        </is>
      </c>
      <c r="D92" s="68" t="inlineStr">
        <is>
          <t>18:40+1</t>
        </is>
      </c>
      <c r="E92" s="68" t="inlineStr">
        <is>
          <t>LAX→ICN</t>
        </is>
      </c>
      <c r="F92" s="68" t="n"/>
      <c r="G92" s="68" t="inlineStr">
        <is>
          <t>Daily B777</t>
        </is>
      </c>
      <c r="H92" s="2" t="inlineStr">
        <is>
          <t>Prestige | Economy</t>
        </is>
      </c>
      <c r="I92" s="2" t="inlineStr">
        <is>
          <t>~13</t>
        </is>
      </c>
      <c r="J92" s="2" t="inlineStr">
        <is>
          <t>B777-300ER</t>
        </is>
      </c>
    </row>
    <row r="93">
      <c r="A93" s="66" t="inlineStr">
        <is>
          <t>OZ201</t>
        </is>
      </c>
      <c r="B93" s="68" t="inlineStr">
        <is>
          <t>Asiana</t>
        </is>
      </c>
      <c r="C93" s="68" t="inlineStr">
        <is>
          <t>23:30</t>
        </is>
      </c>
      <c r="D93" s="68" t="inlineStr">
        <is>
          <t>04:30+2</t>
        </is>
      </c>
      <c r="E93" s="68" t="inlineStr">
        <is>
          <t>LAX→ICN</t>
        </is>
      </c>
      <c r="F93" s="68" t="n"/>
      <c r="G93" s="68" t="inlineStr">
        <is>
          <t>Daily A380</t>
        </is>
      </c>
      <c r="H93" s="2" t="inlineStr">
        <is>
          <t>First Suite | Business | Economy</t>
        </is>
      </c>
      <c r="I93" s="2" t="inlineStr">
        <is>
          <t>~13</t>
        </is>
      </c>
      <c r="J93" s="2" t="inlineStr">
        <is>
          <t>A380-800</t>
        </is>
      </c>
    </row>
    <row r="94">
      <c r="A94" s="66" t="inlineStr">
        <is>
          <t>OZ203</t>
        </is>
      </c>
      <c r="B94" s="68" t="inlineStr">
        <is>
          <t>Asiana</t>
        </is>
      </c>
      <c r="C94" s="68" t="inlineStr">
        <is>
          <t>13:00</t>
        </is>
      </c>
      <c r="D94" s="68" t="inlineStr">
        <is>
          <t>18:10+1</t>
        </is>
      </c>
      <c r="E94" s="68" t="inlineStr">
        <is>
          <t>LAX→ICN</t>
        </is>
      </c>
      <c r="F94" s="68" t="n"/>
      <c r="G94" s="68" t="inlineStr">
        <is>
          <t>Daily A350</t>
        </is>
      </c>
      <c r="H94" s="2" t="inlineStr">
        <is>
          <t>Business | Economy</t>
        </is>
      </c>
      <c r="I94" s="2" t="inlineStr">
        <is>
          <t>~13</t>
        </is>
      </c>
      <c r="J94" s="2" t="inlineStr">
        <is>
          <t>A350-900</t>
        </is>
      </c>
    </row>
    <row r="95">
      <c r="A95" s="66" t="n"/>
      <c r="B95" s="68" t="n"/>
      <c r="C95" s="68" t="n"/>
      <c r="D95" s="68" t="n"/>
      <c r="E95" s="68" t="n"/>
      <c r="F95" s="68" t="n"/>
      <c r="G95" s="68" t="n"/>
    </row>
    <row r="96">
      <c r="A96" s="66" t="n"/>
      <c r="B96" s="68" t="n"/>
      <c r="C96" s="68" t="n"/>
      <c r="D96" s="68" t="n"/>
      <c r="E96" s="68" t="n"/>
      <c r="F96" s="68" t="n"/>
      <c r="G96" s="68" t="n"/>
    </row>
    <row r="97">
      <c r="A97" s="66" t="n"/>
      <c r="B97" s="68" t="n"/>
      <c r="C97" s="68" t="n"/>
      <c r="D97" s="68" t="n"/>
      <c r="E97" s="68" t="n"/>
      <c r="F97" s="68" t="n"/>
      <c r="G97" s="68" t="n"/>
    </row>
    <row r="98">
      <c r="A98" s="66" t="n"/>
      <c r="B98" s="68" t="n"/>
      <c r="C98" s="68" t="n"/>
      <c r="D98" s="68" t="n"/>
      <c r="E98" s="68" t="n"/>
      <c r="F98" s="68" t="n"/>
      <c r="G98" s="68" t="n"/>
    </row>
    <row r="99">
      <c r="A99" s="66" t="n"/>
      <c r="B99" s="68" t="n"/>
      <c r="C99" s="68" t="n"/>
      <c r="D99" s="68" t="n"/>
      <c r="E99" s="68" t="n"/>
      <c r="F99" s="68" t="n"/>
      <c r="G99" s="68" t="n"/>
    </row>
  </sheetData>
  <mergeCells count="40">
    <mergeCell ref="A39:H39"/>
    <mergeCell ref="D19:E19"/>
    <mergeCell ref="D63:E63"/>
    <mergeCell ref="C29:C30"/>
    <mergeCell ref="C63:C64"/>
    <mergeCell ref="D40:E40"/>
    <mergeCell ref="A1:H1"/>
    <mergeCell ref="A6:A7"/>
    <mergeCell ref="G19:G20"/>
    <mergeCell ref="B29:B30"/>
    <mergeCell ref="D6:E6"/>
    <mergeCell ref="G53:G54"/>
    <mergeCell ref="C40:C41"/>
    <mergeCell ref="A75:H75"/>
    <mergeCell ref="B6:B7"/>
    <mergeCell ref="A89:H89"/>
    <mergeCell ref="B19:B20"/>
    <mergeCell ref="B53:B54"/>
    <mergeCell ref="D53:E53"/>
    <mergeCell ref="G29:G30"/>
    <mergeCell ref="A18:H18"/>
    <mergeCell ref="G63:G64"/>
    <mergeCell ref="A29:A30"/>
    <mergeCell ref="G40:G41"/>
    <mergeCell ref="A63:A64"/>
    <mergeCell ref="A5:H5"/>
    <mergeCell ref="B40:B41"/>
    <mergeCell ref="A19:A20"/>
    <mergeCell ref="A53:A54"/>
    <mergeCell ref="B63:B64"/>
    <mergeCell ref="C53:C54"/>
    <mergeCell ref="A62:H62"/>
    <mergeCell ref="C19:C20"/>
    <mergeCell ref="D29:E29"/>
    <mergeCell ref="A52:H52"/>
    <mergeCell ref="A28:H28"/>
    <mergeCell ref="C6:C7"/>
    <mergeCell ref="A40:A41"/>
    <mergeCell ref="H63:H64"/>
    <mergeCell ref="F6: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3"/>
  <sheetViews>
    <sheetView tabSelected="1" workbookViewId="0">
      <pane ySplit="10" topLeftCell="A11" activePane="bottomLeft" state="frozen"/>
      <selection pane="bottomLeft" activeCell="J11" sqref="J11"/>
    </sheetView>
  </sheetViews>
  <sheetFormatPr baseColWidth="8" defaultRowHeight="14.4"/>
  <cols>
    <col width="30" customWidth="1" style="44" min="1" max="1"/>
    <col width="6" customWidth="1" style="44" min="2" max="2"/>
    <col width="10" customWidth="1" style="44" min="3" max="4"/>
    <col width="10" customWidth="1" style="44" min="4" max="4"/>
    <col width="8" customWidth="1" style="44" min="5" max="8"/>
    <col width="6" customWidth="1" style="44" min="6" max="6"/>
    <col width="6" customWidth="1" style="44" min="7" max="7"/>
    <col width="6" customWidth="1" style="44" min="8" max="8"/>
    <col width="6" customWidth="1" style="44" min="9" max="9"/>
    <col width="4" customWidth="1" style="44" min="10" max="11"/>
    <col width="12" customWidth="1" style="44" min="11" max="11"/>
    <col width="12" customWidth="1" style="44" min="12" max="15"/>
    <col hidden="1" width="6" customWidth="1" style="44" min="13" max="13"/>
    <col hidden="1" width="6" customWidth="1" style="44" min="14" max="14"/>
    <col hidden="1" width="6" customWidth="1" style="44" min="15" max="15"/>
    <col width="6" customWidth="1" style="44" min="16" max="16"/>
    <col hidden="1" width="6" customWidth="1" style="44" min="17" max="17"/>
  </cols>
  <sheetData>
    <row r="1">
      <c r="A1" s="82" t="inlineStr">
        <is>
          <t>kj'</t>
        </is>
      </c>
      <c r="B1" s="42" t="n"/>
      <c r="C1" s="42" t="n"/>
      <c r="D1" s="42" t="n"/>
      <c r="E1" s="42" t="n"/>
      <c r="F1" s="42" t="n"/>
      <c r="G1" s="42" t="n"/>
      <c r="H1" s="42" t="n"/>
      <c r="I1" s="42" t="n"/>
      <c r="J1" s="42" t="n"/>
      <c r="K1" s="42" t="n"/>
      <c r="L1" s="43" t="n"/>
    </row>
    <row r="2">
      <c r="A2" s="83" t="inlineStr">
        <is>
          <t>Package:</t>
        </is>
      </c>
      <c r="B2" s="48" t="n"/>
      <c r="C2" s="48" t="n"/>
      <c r="D2" s="48" t="n"/>
      <c r="E2" s="48" t="n"/>
      <c r="F2" s="48" t="n"/>
      <c r="G2" s="48" t="n"/>
      <c r="H2" s="48" t="n"/>
      <c r="I2" s="48" t="n"/>
      <c r="J2" s="48" t="n"/>
      <c r="K2" s="48" t="n"/>
      <c r="L2" s="46" t="n"/>
    </row>
    <row r="3">
      <c r="A3" s="84" t="inlineStr">
        <is>
          <t>💰 CHARGE LEGEND:  PG=Per Group(1회청구) | P1=Per Person(1인) | P2=2인1실 | P3=3인1조 | ... P20=20인까지 | 각 카테고리 ▼ 드롭다운으로 선택</t>
        </is>
      </c>
      <c r="B3" s="48" t="n"/>
      <c r="C3" s="48" t="n"/>
      <c r="D3" s="48" t="n"/>
      <c r="E3" s="48" t="n"/>
      <c r="F3" s="48" t="n"/>
      <c r="G3" s="48" t="n"/>
      <c r="H3" s="48" t="n"/>
      <c r="I3" s="48" t="n"/>
      <c r="J3" s="48" t="n"/>
      <c r="K3" s="48" t="n"/>
      <c r="L3" s="46" t="n"/>
    </row>
    <row r="4">
      <c r="A4" s="82" t="inlineStr">
        <is>
          <t>✈️ OUTBOUND FLIGHT — ICN → LAX</t>
        </is>
      </c>
      <c r="B4" s="48" t="n"/>
      <c r="C4" s="48" t="n"/>
      <c r="D4" s="48" t="n"/>
      <c r="E4" s="48" t="n"/>
      <c r="F4" s="48" t="n"/>
      <c r="G4" s="48" t="n"/>
      <c r="H4" s="48" t="n"/>
      <c r="I4" s="48" t="n"/>
      <c r="J4" s="48" t="n"/>
      <c r="K4" s="48" t="n"/>
      <c r="L4" s="46" t="n"/>
    </row>
    <row r="5">
      <c r="A5" s="85" t="inlineStr">
        <is>
          <t>Date:</t>
        </is>
      </c>
      <c r="B5" s="86" t="n"/>
      <c r="C5" s="87">
        <f>IF(D5="","Flight# ▼",HYPERLINK("https://flightaware.com/live/flight/"&amp;LEFT(D5,2)&amp;VALUE(MID(D5,3,10)),"✈ "&amp;D5))</f>
        <v/>
      </c>
      <c r="D5" s="86" t="n"/>
      <c r="E5" s="85" t="inlineStr">
        <is>
          <t>Airline:</t>
        </is>
      </c>
      <c r="F5" s="88">
        <f>IF(D5="","",VLOOKUP(D5,'Master Data'!$A$77:$B$80,2,FALSE))</f>
        <v/>
      </c>
      <c r="G5" s="85" t="inlineStr">
        <is>
          <t>Departure:</t>
        </is>
      </c>
      <c r="H5" s="88">
        <f>IF(D5="","",VLOOKUP(D5,'Master Data'!$A$77:$D$80,3,FALSE))</f>
        <v/>
      </c>
      <c r="I5" s="85" t="inlineStr">
        <is>
          <t>Arrival:</t>
        </is>
      </c>
      <c r="J5" s="88">
        <f>IF(D5="","",VLOOKUP(D5,'Master Data'!$A$77:$D$80,4,FALSE))</f>
        <v/>
      </c>
      <c r="K5" s="85" t="inlineStr">
        <is>
          <t>Seat:</t>
        </is>
      </c>
      <c r="L5" s="86" t="n"/>
      <c r="M5" s="88">
        <f>IF(D5="","",VLOOKUP(D5,'Master Data'!$A$77:$I$80,9,FALSE)&amp;" hrs")</f>
        <v/>
      </c>
    </row>
    <row r="6">
      <c r="A6" s="89" t="n"/>
      <c r="B6" s="89" t="n"/>
      <c r="C6" s="89" t="n"/>
      <c r="D6" s="89" t="n"/>
      <c r="E6" s="89" t="n"/>
      <c r="F6" s="89" t="n"/>
      <c r="G6" s="89" t="n"/>
      <c r="H6" s="89" t="n"/>
      <c r="I6" s="89" t="n"/>
      <c r="J6" s="89" t="n"/>
      <c r="K6" s="89" t="n"/>
      <c r="L6" s="89" t="n"/>
      <c r="M6" s="89" t="n"/>
    </row>
    <row r="7" ht="27.6" customHeight="1" s="44">
      <c r="A7" s="82" t="inlineStr">
        <is>
          <t>✈️ RETURN FLIGHT — LAX → ICN</t>
        </is>
      </c>
      <c r="B7" s="48" t="n"/>
      <c r="C7" s="48" t="n"/>
      <c r="D7" s="48" t="n"/>
      <c r="E7" s="48" t="n"/>
      <c r="F7" s="48" t="n"/>
      <c r="G7" s="48" t="n"/>
      <c r="H7" s="48" t="n"/>
      <c r="I7" s="48" t="n"/>
      <c r="J7" s="48" t="n"/>
      <c r="K7" s="48" t="n"/>
      <c r="L7" s="46" t="n"/>
    </row>
    <row r="8" ht="27.6" customHeight="1" s="44">
      <c r="A8" s="85" t="inlineStr">
        <is>
          <t>Date:</t>
        </is>
      </c>
      <c r="B8" s="86" t="n"/>
      <c r="C8" s="87">
        <f>IF(D8="","Flight# ▼",HYPERLINK("https://flightaware.com/live/flight/"&amp;LEFT(D8,2)&amp;VALUE(MID(D8,3,10)),"✈ "&amp;D8))</f>
        <v/>
      </c>
      <c r="D8" s="86" t="n"/>
      <c r="E8" s="90" t="inlineStr">
        <is>
          <t>Airline:</t>
        </is>
      </c>
      <c r="F8" s="88">
        <f>IF(D8="","",VLOOKUP(D8,'Master Data'!$A$91:$B$94,2,FALSE))</f>
        <v/>
      </c>
      <c r="G8" s="90" t="inlineStr">
        <is>
          <t>Departure:</t>
        </is>
      </c>
      <c r="H8" s="88">
        <f>IF(D8="","",VLOOKUP(D8,'Master Data'!$A$91:$D$94,3,FALSE))</f>
        <v/>
      </c>
      <c r="I8" s="85" t="inlineStr">
        <is>
          <t>Arrival:</t>
        </is>
      </c>
      <c r="J8" s="88">
        <f>IF(D8="","",VLOOKUP(D8,'Master Data'!$A$91:$D$94,4,FALSE))</f>
        <v/>
      </c>
      <c r="K8" s="85" t="inlineStr">
        <is>
          <t>Seat:</t>
        </is>
      </c>
      <c r="L8" s="86" t="n"/>
      <c r="M8" s="88">
        <f>IF(D8="","",VLOOKUP(D8,'Master Data'!$A$91:$I$94,9,FALSE)&amp;" hrs")</f>
        <v/>
      </c>
    </row>
    <row r="9">
      <c r="A9" s="91" t="inlineStr">
        <is>
          <t>📅 Trip:</t>
        </is>
      </c>
      <c r="B9" s="91">
        <f>IF(AND(B5&lt;&gt;"",B8&lt;&gt;""),B8-B5&amp;"N "&amp;B8-B5+1&amp;"D","")</f>
        <v/>
      </c>
      <c r="C9" s="46" t="n"/>
      <c r="D9" s="85" t="inlineStr">
        <is>
          <t>Status:</t>
        </is>
      </c>
      <c r="E9" s="87">
        <f>IF(SUM(P11:P52)&gt;0,"❌"&amp;SUM(P11:P52)&amp;" dup","✅")</f>
        <v/>
      </c>
      <c r="F9" s="85" t="inlineStr">
        <is>
          <t>X-Check:</t>
        </is>
      </c>
      <c r="G9" s="92">
        <f>J64</f>
        <v/>
      </c>
      <c r="H9" s="87" t="inlineStr">
        <is>
          <t>vs</t>
        </is>
      </c>
      <c r="I9" s="92">
        <f>B72</f>
        <v/>
      </c>
      <c r="J9" s="93">
        <f>IF(G9-I9=0,"✅MATCH","❌MISMATCH")</f>
        <v/>
      </c>
      <c r="L9" s="14" t="inlineStr">
        <is>
          <t>P5</t>
        </is>
      </c>
      <c r="M9" s="14" t="inlineStr">
        <is>
          <t>P6</t>
        </is>
      </c>
      <c r="N9" s="14" t="inlineStr">
        <is>
          <t>P7</t>
        </is>
      </c>
      <c r="O9" s="14" t="inlineStr">
        <is>
          <t>P8</t>
        </is>
      </c>
      <c r="P9" s="14" t="inlineStr">
        <is>
          <t>Dup</t>
        </is>
      </c>
    </row>
    <row r="10">
      <c r="A10" s="94" t="inlineStr">
        <is>
          <t>Item ▼</t>
        </is>
      </c>
      <c r="B10" s="94" t="inlineStr">
        <is>
          <t>Qty</t>
        </is>
      </c>
      <c r="C10" s="94" t="inlineStr">
        <is>
          <t>Cost/P</t>
        </is>
      </c>
      <c r="D10" s="94" t="inlineStr">
        <is>
          <t>Sell/P</t>
        </is>
      </c>
      <c r="E10" s="94" t="inlineStr">
        <is>
          <t>Margin%</t>
        </is>
      </c>
      <c r="F10" s="94" t="inlineStr">
        <is>
          <t>P1</t>
        </is>
      </c>
      <c r="G10" s="94" t="inlineStr">
        <is>
          <t>P2</t>
        </is>
      </c>
      <c r="H10" s="94" t="inlineStr">
        <is>
          <t>P3</t>
        </is>
      </c>
      <c r="I10" s="94" t="inlineStr">
        <is>
          <t>P4</t>
        </is>
      </c>
      <c r="J10" s="94" t="inlineStr">
        <is>
          <t>+</t>
        </is>
      </c>
      <c r="K10" s="94" t="inlineStr">
        <is>
          <t>Tot Cost</t>
        </is>
      </c>
      <c r="L10" s="94" t="inlineStr">
        <is>
          <t>Tot Sell</t>
        </is>
      </c>
      <c r="M10" s="94" t="inlineStr">
        <is>
          <t>P5</t>
        </is>
      </c>
      <c r="N10" s="94" t="inlineStr">
        <is>
          <t>P6</t>
        </is>
      </c>
      <c r="O10" s="94" t="inlineStr">
        <is>
          <t>P7</t>
        </is>
      </c>
      <c r="P10" s="94" t="inlineStr">
        <is>
          <t>P8</t>
        </is>
      </c>
      <c r="Q10" s="94" t="inlineStr">
        <is>
          <t>Dup</t>
        </is>
      </c>
    </row>
    <row r="11" ht="18" customHeight="1" s="44">
      <c r="A11" s="95" t="inlineStr">
        <is>
          <t>⛳ GOLF</t>
        </is>
      </c>
      <c r="B11" s="48" t="n"/>
      <c r="C11" s="48" t="n"/>
      <c r="D11" s="48" t="n"/>
      <c r="E11" s="48" t="n"/>
      <c r="F11" s="48" t="n"/>
      <c r="G11" s="48" t="n"/>
      <c r="H11" s="48" t="n"/>
      <c r="I11" s="48" t="n"/>
      <c r="J11" s="48" t="n"/>
      <c r="K11" s="46" t="n"/>
      <c r="L11" s="91" t="inlineStr">
        <is>
          <t>P1</t>
        </is>
      </c>
      <c r="M11" s="94" t="n"/>
      <c r="N11" s="94" t="n"/>
      <c r="O11" s="94" t="n"/>
      <c r="P11" s="94" t="n"/>
      <c r="Q11" s="94" t="n"/>
    </row>
    <row r="12" ht="18" customHeight="1" s="44">
      <c r="A12" s="96" t="inlineStr">
        <is>
          <t>Sandpiper GC</t>
        </is>
      </c>
      <c r="B12" s="97" t="n">
        <v>1</v>
      </c>
      <c r="C12" s="98">
        <f>IF(A12="","",VLOOKUP(A12,'Master Data'!$A$8:$C$15,2,FALSE))</f>
        <v/>
      </c>
      <c r="D12" s="98">
        <f>IF(A12="","",VLOOKUP(A12,'Master Data'!$A$8:$C$15,3,FALSE))</f>
        <v/>
      </c>
      <c r="E12" s="99">
        <f>IF(D12&gt;0,(D12-C12)/D12,0)</f>
        <v/>
      </c>
      <c r="F12" s="87" t="n"/>
      <c r="G12" s="87" t="n"/>
      <c r="H12" s="87" t="n"/>
      <c r="I12" s="87" t="n"/>
      <c r="J12" s="100" t="inlineStr">
        <is>
          <t>+</t>
        </is>
      </c>
      <c r="K12" s="98">
        <f>IF(A12="","",IF(L11="PG",IF((F12="●")+(G12="●")+(H12="●")+(I12="●")+(L12="●")+(M12="●")+(N12="●")+(O12="●")&gt;0,B12*C12,0),ROUNDUP((F12="●")+(G12="●")+(H12="●")+(I12="●")+(L12="●")+(M12="●")+(N12="●")+(O12="●")/VALUE(MID(L11,2,2)),0)*B12*C12))</f>
        <v/>
      </c>
      <c r="L12" s="98">
        <f>IF(A12="","",IF(L11="PG",IF((F12="●")+(G12="●")+(H12="●")+(I12="●")+(L12="●")+(M12="●")+(N12="●")+(O12="●")&gt;0,B12*D12,0),ROUNDUP((F12="●")+(G12="●")+(H12="●")+(I12="●")+(L12="●")+(M12="●")+(N12="●")+(O12="●")/VALUE(MID(L11,2,2)),0)*B12*D12))</f>
        <v/>
      </c>
      <c r="M12" s="87" t="n"/>
      <c r="N12" s="87" t="n"/>
      <c r="O12" s="87" t="n"/>
      <c r="P12" s="5">
        <f>IF(A12="",0,COUNTIF(A$11:A11,A12))</f>
        <v/>
      </c>
      <c r="Q12" s="87" t="n"/>
    </row>
    <row r="13" ht="18" customHeight="1" s="44">
      <c r="A13" s="96" t="inlineStr">
        <is>
          <t>Trump National LA</t>
        </is>
      </c>
      <c r="B13" s="97" t="n">
        <v>1</v>
      </c>
      <c r="C13" s="98">
        <f>IF(A13="","",VLOOKUP(A13,'Master Data'!$A$8:$C$15,2,FALSE))</f>
        <v/>
      </c>
      <c r="D13" s="98">
        <f>IF(A13="","",VLOOKUP(A13,'Master Data'!$A$8:$C$15,3,FALSE))</f>
        <v/>
      </c>
      <c r="E13" s="99">
        <f>IF(D13&gt;0,(D13-C13)/D13,0)</f>
        <v/>
      </c>
      <c r="F13" s="87" t="n"/>
      <c r="G13" s="87" t="n"/>
      <c r="H13" s="87" t="n"/>
      <c r="I13" s="87" t="n"/>
      <c r="J13" s="100" t="inlineStr">
        <is>
          <t>+</t>
        </is>
      </c>
      <c r="K13" s="98">
        <f>IF(A13="","",IF(L11="PG",IF((F13="●")+(G13="●")+(H13="●")+(I13="●")+(L13="●")+(M13="●")+(N13="●")+(O13="●")&gt;0,B13*C13,0),ROUNDUP((F13="●")+(G13="●")+(H13="●")+(I13="●")+(L13="●")+(M13="●")+(N13="●")+(O13="●")/VALUE(MID(L11,2,2)),0)*B13*C13))</f>
        <v/>
      </c>
      <c r="L13" s="98">
        <f>IF(A13="","",IF(L11="PG",IF((F13="●")+(G13="●")+(H13="●")+(I13="●")+(L13="●")+(M13="●")+(N13="●")+(O13="●")&gt;0,B13*D13,0),ROUNDUP((F13="●")+(G13="●")+(H13="●")+(I13="●")+(L13="●")+(M13="●")+(N13="●")+(O13="●")/VALUE(MID(L11,2,2)),0)*B13*D13))</f>
        <v/>
      </c>
      <c r="M13" s="87" t="n"/>
      <c r="N13" s="87" t="n"/>
      <c r="O13" s="87" t="n"/>
      <c r="P13" s="5">
        <f>IF(A13="",0,COUNTIF(A$11:A12,A13))</f>
        <v/>
      </c>
      <c r="Q13" s="87" t="n"/>
    </row>
    <row r="14" ht="18" customHeight="1" s="44">
      <c r="A14" s="101" t="n"/>
      <c r="B14" s="100" t="n"/>
      <c r="C14" s="98">
        <f>IF(A14="","",VLOOKUP(A14,'Master Data'!$A$8:$C$15,2,FALSE))</f>
        <v/>
      </c>
      <c r="D14" s="98">
        <f>IF(A14="","",VLOOKUP(A14,'Master Data'!$A$8:$C$15,3,FALSE))</f>
        <v/>
      </c>
      <c r="E14" s="99">
        <f>IF(D14&gt;0,(D14-C14)/D14,0)</f>
        <v/>
      </c>
      <c r="F14" s="87" t="n"/>
      <c r="G14" s="87" t="n"/>
      <c r="H14" s="87" t="n"/>
      <c r="I14" s="87" t="n"/>
      <c r="J14" s="100" t="inlineStr">
        <is>
          <t>+</t>
        </is>
      </c>
      <c r="K14" s="98">
        <f>IF(A14="","",IF(L11="PG",IF((F14="●")+(G14="●")+(H14="●")+(I14="●")+(L14="●")+(M14="●")+(N14="●")+(O14="●")&gt;0,B14*C14,0),ROUNDUP((F14="●")+(G14="●")+(H14="●")+(I14="●")+(L14="●")+(M14="●")+(N14="●")+(O14="●")/VALUE(MID(L11,2,2)),0)*B14*C14))</f>
        <v/>
      </c>
      <c r="L14" s="98">
        <f>IF(A14="","",IF(L11="PG",IF((F14="●")+(G14="●")+(H14="●")+(I14="●")+(L14="●")+(M14="●")+(N14="●")+(O14="●")&gt;0,B14*D14,0),ROUNDUP((F14="●")+(G14="●")+(H14="●")+(I14="●")+(L14="●")+(M14="●")+(N14="●")+(O14="●")/VALUE(MID(L11,2,2)),0)*B14*D14))</f>
        <v/>
      </c>
      <c r="M14" s="87" t="n"/>
      <c r="N14" s="87" t="n"/>
      <c r="O14" s="87" t="n"/>
      <c r="P14" s="5">
        <f>IF(A14="",0,COUNTIF(A$11:A13,A14))</f>
        <v/>
      </c>
      <c r="Q14" s="87" t="n"/>
    </row>
    <row r="15" ht="18" customHeight="1" s="44">
      <c r="A15" s="101" t="n"/>
      <c r="B15" s="100" t="n"/>
      <c r="C15" s="98">
        <f>IF(A15="","",VLOOKUP(A15,'Master Data'!$A$8:$C$15,2,FALSE))</f>
        <v/>
      </c>
      <c r="D15" s="98">
        <f>IF(A15="","",VLOOKUP(A15,'Master Data'!$A$8:$C$15,3,FALSE))</f>
        <v/>
      </c>
      <c r="E15" s="99">
        <f>IF(D15&gt;0,(D15-C15)/D15,0)</f>
        <v/>
      </c>
      <c r="F15" s="87" t="n"/>
      <c r="G15" s="87" t="n"/>
      <c r="H15" s="87" t="n"/>
      <c r="I15" s="87" t="n"/>
      <c r="J15" s="100" t="inlineStr">
        <is>
          <t>+</t>
        </is>
      </c>
      <c r="K15" s="98">
        <f>IF(A15="","",IF(L11="PG",IF((F15="●")+(G15="●")+(H15="●")+(I15="●")+(L15="●")+(M15="●")+(N15="●")+(O15="●")&gt;0,B15*C15,0),ROUNDUP((F15="●")+(G15="●")+(H15="●")+(I15="●")+(L15="●")+(M15="●")+(N15="●")+(O15="●")/VALUE(MID(L11,2,2)),0)*B15*C15))</f>
        <v/>
      </c>
      <c r="L15" s="98">
        <f>IF(A15="","",IF(L11="PG",IF((F15="●")+(G15="●")+(H15="●")+(I15="●")+(L15="●")+(M15="●")+(N15="●")+(O15="●")&gt;0,B15*D15,0),ROUNDUP((F15="●")+(G15="●")+(H15="●")+(I15="●")+(L15="●")+(M15="●")+(N15="●")+(O15="●")/VALUE(MID(L11,2,2)),0)*B15*D15))</f>
        <v/>
      </c>
      <c r="M15" s="87" t="n"/>
      <c r="N15" s="87" t="n"/>
      <c r="O15" s="87" t="n"/>
      <c r="P15" s="5">
        <f>IF(A15="",0,COUNTIF(A$11:A14,A15))</f>
        <v/>
      </c>
      <c r="Q15" s="87" t="n"/>
    </row>
    <row r="16">
      <c r="A16" s="102" t="inlineStr">
        <is>
          <t>SUBTOTAL</t>
        </is>
      </c>
      <c r="B16" s="91" t="n"/>
      <c r="C16" s="91" t="n"/>
      <c r="D16" s="91" t="n"/>
      <c r="E16" s="91" t="n"/>
      <c r="F16" s="103">
        <f>SUMPRODUCT((F11:F15="●")*1,B11:B15,C11:C15)</f>
        <v/>
      </c>
      <c r="G16" s="103">
        <f>SUMPRODUCT((G11:G15="●")*1,B11:B15,C11:C15)</f>
        <v/>
      </c>
      <c r="H16" s="103">
        <f>SUMPRODUCT((H11:H15="●")*1,B11:B15,C11:C15)</f>
        <v/>
      </c>
      <c r="I16" s="103">
        <f>SUMPRODUCT((I11:I15="●")*1,B11:B15,C11:C15)</f>
        <v/>
      </c>
      <c r="J16" s="104" t="n"/>
      <c r="K16" s="103">
        <f>SUM(K11:K15)</f>
        <v/>
      </c>
      <c r="L16" s="103">
        <f>SUM(L11:L15)</f>
        <v/>
      </c>
      <c r="M16" s="103">
        <f>SUMPRODUCT((M11:M15="●")*1,B11:B15,C11:C15)</f>
        <v/>
      </c>
      <c r="N16" s="103">
        <f>SUMPRODUCT((N11:N15="●")*1,B11:B15,C11:C15)</f>
        <v/>
      </c>
      <c r="O16" s="103">
        <f>SUMPRODUCT((O11:O15="●")*1,B11:B15,C11:C15)</f>
        <v/>
      </c>
      <c r="P16" s="91">
        <f>SUM(P11:P15)</f>
        <v/>
      </c>
      <c r="Q16" s="91" t="n"/>
    </row>
    <row r="17" ht="6" customHeight="1" s="44">
      <c r="A17" s="89" t="n"/>
      <c r="B17" s="89" t="n"/>
      <c r="C17" s="89" t="n"/>
      <c r="D17" s="89" t="n"/>
      <c r="E17" s="89" t="n"/>
      <c r="F17" s="89" t="n"/>
      <c r="G17" s="89" t="n"/>
      <c r="H17" s="89" t="n"/>
      <c r="I17" s="89" t="n"/>
      <c r="J17" s="89" t="n"/>
      <c r="K17" s="89" t="n"/>
      <c r="L17" s="89" t="n"/>
      <c r="M17" s="89" t="n"/>
      <c r="N17" s="89" t="n"/>
      <c r="O17" s="89" t="n"/>
      <c r="P17" s="89" t="n"/>
      <c r="Q17" s="89" t="n"/>
    </row>
    <row r="18">
      <c r="A18" s="95" t="inlineStr">
        <is>
          <t>🏨 HOTEL</t>
        </is>
      </c>
      <c r="B18" s="48" t="n"/>
      <c r="C18" s="48" t="n"/>
      <c r="D18" s="48" t="n"/>
      <c r="E18" s="48" t="n"/>
      <c r="F18" s="48" t="n"/>
      <c r="G18" s="48" t="n"/>
      <c r="H18" s="48" t="n"/>
      <c r="I18" s="48" t="n"/>
      <c r="J18" s="48" t="n"/>
      <c r="K18" s="46" t="n"/>
      <c r="L18" s="91" t="inlineStr">
        <is>
          <t>P2</t>
        </is>
      </c>
      <c r="M18" s="94" t="n"/>
      <c r="N18" s="94" t="n"/>
      <c r="O18" s="94" t="n"/>
      <c r="P18" s="94" t="n"/>
      <c r="Q18" s="94" t="n"/>
    </row>
    <row r="19" ht="18" customHeight="1" s="44">
      <c r="A19" s="101" t="n"/>
      <c r="B19" s="100" t="n"/>
      <c r="C19" s="98">
        <f>IF(A19="","",VLOOKUP(A19,'Master Data'!$A$21:$C$26,2,FALSE))</f>
        <v/>
      </c>
      <c r="D19" s="98">
        <f>IF(A19="","",VLOOKUP(A19,'Master Data'!$A$21:$C$26,3,FALSE))</f>
        <v/>
      </c>
      <c r="E19" s="99">
        <f>IF(D19&gt;0,(D19-C19)/D19,0)</f>
        <v/>
      </c>
      <c r="F19" s="87" t="n"/>
      <c r="G19" s="87" t="n"/>
      <c r="H19" s="87" t="n"/>
      <c r="I19" s="87" t="n"/>
      <c r="J19" s="100" t="inlineStr">
        <is>
          <t>+</t>
        </is>
      </c>
      <c r="K19" s="98">
        <f>IF(A19="","",IF(L18="PG",IF((F19="●")+(G19="●")+(H19="●")+(I19="●")+(L19="●")+(M19="●")+(N19="●")+(O19="●")&gt;0,B19*C19,0),ROUNDUP((F19="●")+(G19="●")+(H19="●")+(I19="●")+(L19="●")+(M19="●")+(N19="●")+(O19="●")/VALUE(MID(L18,2,2)),0)*B19*C19))</f>
        <v/>
      </c>
      <c r="L19" s="98">
        <f>IF(A19="","",IF(L18="PG",IF((F19="●")+(G19="●")+(H19="●")+(I19="●")+(L19="●")+(M19="●")+(N19="●")+(O19="●")&gt;0,B19*D19,0),ROUNDUP((F19="●")+(G19="●")+(H19="●")+(I19="●")+(L19="●")+(M19="●")+(N19="●")+(O19="●")/VALUE(MID(L18,2,2)),0)*B19*D19))</f>
        <v/>
      </c>
      <c r="M19" s="87" t="n"/>
      <c r="N19" s="87" t="n"/>
      <c r="O19" s="87" t="n"/>
      <c r="P19" s="5">
        <f>IF(A19="",0,COUNTIF(A$18:A18,A19))</f>
        <v/>
      </c>
      <c r="Q19" s="87" t="n"/>
    </row>
    <row r="20" ht="18" customHeight="1" s="44">
      <c r="A20" s="101" t="n"/>
      <c r="B20" s="100" t="n"/>
      <c r="C20" s="98">
        <f>IF(A20="","",VLOOKUP(A20,'Master Data'!$A$21:$C$26,2,FALSE))</f>
        <v/>
      </c>
      <c r="D20" s="98">
        <f>IF(A20="","",VLOOKUP(A20,'Master Data'!$A$21:$C$26,3,FALSE))</f>
        <v/>
      </c>
      <c r="E20" s="99">
        <f>IF(D20&gt;0,(D20-C20)/D20,0)</f>
        <v/>
      </c>
      <c r="F20" s="87" t="n"/>
      <c r="G20" s="87" t="n"/>
      <c r="H20" s="87" t="n"/>
      <c r="I20" s="87" t="n"/>
      <c r="J20" s="100" t="inlineStr">
        <is>
          <t>+</t>
        </is>
      </c>
      <c r="K20" s="98">
        <f>IF(A20="","",IF(L18="PG",IF((F20="●")+(G20="●")+(H20="●")+(I20="●")+(L20="●")+(M20="●")+(N20="●")+(O20="●")&gt;0,B20*C20,0),ROUNDUP((F20="●")+(G20="●")+(H20="●")+(I20="●")+(L20="●")+(M20="●")+(N20="●")+(O20="●")/VALUE(MID(L18,2,2)),0)*B20*C20))</f>
        <v/>
      </c>
      <c r="L20" s="98">
        <f>IF(A20="","",IF(L18="PG",IF((F20="●")+(G20="●")+(H20="●")+(I20="●")+(L20="●")+(M20="●")+(N20="●")+(O20="●")&gt;0,B20*D20,0),ROUNDUP((F20="●")+(G20="●")+(H20="●")+(I20="●")+(L20="●")+(M20="●")+(N20="●")+(O20="●")/VALUE(MID(L18,2,2)),0)*B20*D20))</f>
        <v/>
      </c>
      <c r="M20" s="87" t="n"/>
      <c r="N20" s="87" t="n"/>
      <c r="O20" s="87" t="n"/>
      <c r="P20" s="5">
        <f>IF(A20="",0,COUNTIF(A$18:A19,A20))</f>
        <v/>
      </c>
      <c r="Q20" s="87" t="n"/>
    </row>
    <row r="21" ht="18" customHeight="1" s="44">
      <c r="A21" s="102" t="inlineStr">
        <is>
          <t>SUBTOTAL</t>
        </is>
      </c>
      <c r="B21" s="104" t="n"/>
      <c r="C21" s="104" t="n"/>
      <c r="D21" s="104" t="n"/>
      <c r="E21" s="105" t="n"/>
      <c r="F21" s="103">
        <f>SUMPRODUCT((F18:F20="●")*1,B18:B20,C18:C20)</f>
        <v/>
      </c>
      <c r="G21" s="103">
        <f>SUMPRODUCT((G18:G20="●")*1,B18:B20,C18:C20)</f>
        <v/>
      </c>
      <c r="H21" s="103">
        <f>SUMPRODUCT((H18:H20="●")*1,B18:B20,C18:C20)</f>
        <v/>
      </c>
      <c r="I21" s="103">
        <f>SUMPRODUCT((I18:I20="●")*1,B18:B20,C18:C20)</f>
        <v/>
      </c>
      <c r="J21" s="104" t="n"/>
      <c r="K21" s="103">
        <f>SUM(K18:K20)</f>
        <v/>
      </c>
      <c r="L21" s="103">
        <f>SUM(L18:L20)</f>
        <v/>
      </c>
      <c r="M21" s="103">
        <f>SUMPRODUCT((M18:M20="●")*1,B18:B20,C18:C20)</f>
        <v/>
      </c>
      <c r="N21" s="103">
        <f>SUMPRODUCT((N18:N20="●")*1,B18:B20,C18:C20)</f>
        <v/>
      </c>
      <c r="O21" s="103">
        <f>SUMPRODUCT((O18:O20="●")*1,B18:B20,C18:C20)</f>
        <v/>
      </c>
      <c r="P21" s="91">
        <f>SUM(P18:P20)</f>
        <v/>
      </c>
      <c r="Q21" s="91" t="n"/>
    </row>
    <row r="22" ht="6" customHeight="1" s="44">
      <c r="A22" s="89" t="n"/>
      <c r="B22" s="89" t="n"/>
      <c r="C22" s="89" t="n"/>
      <c r="D22" s="89" t="n"/>
      <c r="E22" s="89" t="n"/>
      <c r="F22" s="106" t="n"/>
      <c r="G22" s="106" t="n"/>
      <c r="H22" s="106" t="n"/>
      <c r="I22" s="106" t="n"/>
      <c r="J22" s="106" t="n"/>
      <c r="K22" s="106" t="n"/>
      <c r="L22" s="106" t="n"/>
      <c r="M22" s="106" t="n"/>
      <c r="N22" s="106" t="n"/>
      <c r="O22" s="106" t="n"/>
      <c r="P22" s="89" t="n"/>
      <c r="Q22" s="89" t="n"/>
    </row>
    <row r="23"/>
    <row r="24">
      <c r="A24" s="95" t="inlineStr">
        <is>
          <t>🚐 TRANSPORT</t>
        </is>
      </c>
      <c r="B24" s="48" t="n"/>
      <c r="C24" s="48" t="n"/>
      <c r="D24" s="48" t="n"/>
      <c r="E24" s="48" t="n"/>
      <c r="F24" s="48" t="n"/>
      <c r="G24" s="48" t="n"/>
      <c r="H24" s="48" t="n"/>
      <c r="I24" s="48" t="n"/>
      <c r="J24" s="48" t="n"/>
      <c r="K24" s="46" t="n"/>
      <c r="L24" s="91" t="inlineStr">
        <is>
          <t>PG</t>
        </is>
      </c>
      <c r="M24" s="94" t="n"/>
      <c r="N24" s="94" t="n"/>
      <c r="O24" s="94" t="n"/>
      <c r="P24" s="94" t="n"/>
      <c r="Q24" s="94" t="n"/>
    </row>
    <row r="25" ht="18" customHeight="1" s="44">
      <c r="A25" s="101" t="n"/>
      <c r="B25" s="100" t="n"/>
      <c r="C25" s="98">
        <f>IF(A25="","",VLOOKUP(A25,'Master Data'!$A$31:$C$37,2,FALSE))</f>
        <v/>
      </c>
      <c r="D25" s="98">
        <f>IF(A25="","",VLOOKUP(A25,'Master Data'!$A$31:$C$37,3,FALSE))</f>
        <v/>
      </c>
      <c r="E25" s="99">
        <f>IF(D25&gt;0,(D25-C25)/D25,0)</f>
        <v/>
      </c>
      <c r="F25" s="87" t="n"/>
      <c r="G25" s="87" t="n"/>
      <c r="H25" s="87" t="n"/>
      <c r="I25" s="87" t="n"/>
      <c r="J25" s="100" t="inlineStr">
        <is>
          <t>+</t>
        </is>
      </c>
      <c r="K25" s="98">
        <f>IF(A25="","",IF(L24="PG",IF((F25="●")+(G25="●")+(H25="●")+(I25="●")+(L25="●")+(M25="●")+(N25="●")+(O25="●")&gt;0,B25*C25,0),ROUNDUP((F25="●")+(G25="●")+(H25="●")+(I25="●")+(L25="●")+(M25="●")+(N25="●")+(O25="●")/VALUE(MID(L24,2,2)),0)*B25*C25))</f>
        <v/>
      </c>
      <c r="L25" s="98">
        <f>IF(A25="","",IF(L24="PG",IF((F25="●")+(G25="●")+(H25="●")+(I25="●")+(L25="●")+(M25="●")+(N25="●")+(O25="●")&gt;0,B25*D25,0),ROUNDUP((F25="●")+(G25="●")+(H25="●")+(I25="●")+(L25="●")+(M25="●")+(N25="●")+(O25="●")/VALUE(MID(L24,2,2)),0)*B25*D25))</f>
        <v/>
      </c>
      <c r="M25" s="87" t="n"/>
      <c r="N25" s="87" t="n"/>
      <c r="O25" s="87" t="n"/>
      <c r="P25" s="5">
        <f>IF(A25="",0,COUNTIF(A$24:A24,A25))</f>
        <v/>
      </c>
      <c r="Q25" s="87" t="n"/>
    </row>
    <row r="26" ht="18" customHeight="1" s="44">
      <c r="A26" s="101" t="n"/>
      <c r="B26" s="100" t="n"/>
      <c r="C26" s="98">
        <f>IF(A26="","",VLOOKUP(A26,'Master Data'!$A$31:$C$37,2,FALSE))</f>
        <v/>
      </c>
      <c r="D26" s="98">
        <f>IF(A26="","",VLOOKUP(A26,'Master Data'!$A$31:$C$37,3,FALSE))</f>
        <v/>
      </c>
      <c r="E26" s="99">
        <f>IF(D26&gt;0,(D26-C26)/D26,0)</f>
        <v/>
      </c>
      <c r="F26" s="87" t="n"/>
      <c r="G26" s="87" t="n"/>
      <c r="H26" s="87" t="n"/>
      <c r="I26" s="87" t="n"/>
      <c r="J26" s="100" t="inlineStr">
        <is>
          <t>+</t>
        </is>
      </c>
      <c r="K26" s="98">
        <f>IF(A26="","",IF(L24="PG",IF((F26="●")+(G26="●")+(H26="●")+(I26="●")+(L26="●")+(M26="●")+(N26="●")+(O26="●")&gt;0,B26*C26,0),ROUNDUP((F26="●")+(G26="●")+(H26="●")+(I26="●")+(L26="●")+(M26="●")+(N26="●")+(O26="●")/VALUE(MID(L24,2,2)),0)*B26*C26))</f>
        <v/>
      </c>
      <c r="L26" s="98">
        <f>IF(A26="","",IF(L24="PG",IF((F26="●")+(G26="●")+(H26="●")+(I26="●")+(L26="●")+(M26="●")+(N26="●")+(O26="●")&gt;0,B26*D26,0),ROUNDUP((F26="●")+(G26="●")+(H26="●")+(I26="●")+(L26="●")+(M26="●")+(N26="●")+(O26="●")/VALUE(MID(L24,2,2)),0)*B26*D26))</f>
        <v/>
      </c>
      <c r="M26" s="87" t="n"/>
      <c r="N26" s="87" t="n"/>
      <c r="O26" s="87" t="n"/>
      <c r="P26" s="5">
        <f>IF(A26="",0,COUNTIF(A$24:A25,A26))</f>
        <v/>
      </c>
      <c r="Q26" s="87" t="n"/>
    </row>
    <row r="27" ht="18" customHeight="1" s="44">
      <c r="A27" s="102" t="inlineStr">
        <is>
          <t>SUBTOTAL</t>
        </is>
      </c>
      <c r="B27" s="104" t="n"/>
      <c r="C27" s="104" t="n"/>
      <c r="D27" s="104" t="n"/>
      <c r="E27" s="105" t="n"/>
      <c r="F27" s="103">
        <f>SUMPRODUCT((F24:F26="●")*1,B24:B26,C24:C26)</f>
        <v/>
      </c>
      <c r="G27" s="103">
        <f>SUMPRODUCT((G24:G26="●")*1,B24:B26,C24:C26)</f>
        <v/>
      </c>
      <c r="H27" s="103">
        <f>SUMPRODUCT((H24:H26="●")*1,B24:B26,C24:C26)</f>
        <v/>
      </c>
      <c r="I27" s="103">
        <f>SUMPRODUCT((I24:I26="●")*1,B24:B26,C24:C26)</f>
        <v/>
      </c>
      <c r="J27" s="104" t="n"/>
      <c r="K27" s="103">
        <f>SUM(K24:K26)</f>
        <v/>
      </c>
      <c r="L27" s="103">
        <f>SUM(L24:L26)</f>
        <v/>
      </c>
      <c r="M27" s="103">
        <f>SUMPRODUCT((M24:M26="●")*1,B24:B26,C24:C26)</f>
        <v/>
      </c>
      <c r="N27" s="103">
        <f>SUMPRODUCT((N24:N26="●")*1,B24:B26,C24:C26)</f>
        <v/>
      </c>
      <c r="O27" s="103">
        <f>SUMPRODUCT((O24:O26="●")*1,B24:B26,C24:C26)</f>
        <v/>
      </c>
      <c r="P27" s="91">
        <f>SUM(P24:P26)</f>
        <v/>
      </c>
      <c r="Q27" s="91" t="n"/>
    </row>
    <row r="28" ht="6" customHeight="1" s="44">
      <c r="A28" s="89" t="n"/>
      <c r="B28" s="89" t="n"/>
      <c r="C28" s="89" t="n"/>
      <c r="D28" s="89" t="n"/>
      <c r="E28" s="89" t="n"/>
      <c r="F28" s="106" t="n"/>
      <c r="G28" s="106" t="n"/>
      <c r="H28" s="106" t="n"/>
      <c r="I28" s="106" t="n"/>
      <c r="J28" s="106" t="n"/>
      <c r="K28" s="106" t="n"/>
      <c r="L28" s="106" t="n"/>
      <c r="M28" s="106" t="n"/>
      <c r="N28" s="106" t="n"/>
      <c r="O28" s="106" t="n"/>
      <c r="P28" s="89" t="n"/>
      <c r="Q28" s="89" t="n"/>
    </row>
    <row r="29"/>
    <row r="30">
      <c r="A30" s="95" t="inlineStr">
        <is>
          <t>🍽️ MEALS</t>
        </is>
      </c>
      <c r="B30" s="48" t="n"/>
      <c r="C30" s="48" t="n"/>
      <c r="D30" s="48" t="n"/>
      <c r="E30" s="48" t="n"/>
      <c r="F30" s="48" t="n"/>
      <c r="G30" s="48" t="n"/>
      <c r="H30" s="48" t="n"/>
      <c r="I30" s="48" t="n"/>
      <c r="J30" s="48" t="n"/>
      <c r="K30" s="46" t="n"/>
      <c r="L30" s="91" t="inlineStr">
        <is>
          <t>P1</t>
        </is>
      </c>
      <c r="M30" s="94" t="n"/>
      <c r="N30" s="94" t="n"/>
      <c r="O30" s="94" t="n"/>
      <c r="P30" s="94" t="n"/>
      <c r="Q30" s="94" t="n"/>
    </row>
    <row r="31" ht="18" customHeight="1" s="44">
      <c r="A31" s="96" t="inlineStr">
        <is>
          <t>Dinner (Regular)</t>
        </is>
      </c>
      <c r="B31" s="97" t="n">
        <v>3</v>
      </c>
      <c r="C31" s="98">
        <f>IF(A31="","",VLOOKUP(A31,'Master Data'!$A$42:$C$50,2,FALSE))</f>
        <v/>
      </c>
      <c r="D31" s="98">
        <f>IF(A31="","",VLOOKUP(A31,'Master Data'!$A$42:$C$50,3,FALSE))</f>
        <v/>
      </c>
      <c r="E31" s="99">
        <f>IF(D31&gt;0,(D31-C31)/D31,0)</f>
        <v/>
      </c>
      <c r="F31" s="87" t="n"/>
      <c r="G31" s="87" t="n"/>
      <c r="H31" s="87" t="n"/>
      <c r="I31" s="87" t="n"/>
      <c r="J31" s="100" t="inlineStr">
        <is>
          <t>+</t>
        </is>
      </c>
      <c r="K31" s="98">
        <f>IF(A31="","",IF(L30="PG",IF((F31="●")+(G31="●")+(H31="●")+(I31="●")+(L31="●")+(M31="●")+(N31="●")+(O31="●")&gt;0,B31*C31,0),ROUNDUP((F31="●")+(G31="●")+(H31="●")+(I31="●")+(L31="●")+(M31="●")+(N31="●")+(O31="●")/VALUE(MID(L30,2,2)),0)*B31*C31))</f>
        <v/>
      </c>
      <c r="L31" s="98">
        <f>IF(A31="","",IF(L30="PG",IF((F31="●")+(G31="●")+(H31="●")+(I31="●")+(L31="●")+(M31="●")+(N31="●")+(O31="●")&gt;0,B31*D31,0),ROUNDUP((F31="●")+(G31="●")+(H31="●")+(I31="●")+(L31="●")+(M31="●")+(N31="●")+(O31="●")/VALUE(MID(L30,2,2)),0)*B31*D31))</f>
        <v/>
      </c>
      <c r="M31" s="87" t="n"/>
      <c r="N31" s="87" t="n"/>
      <c r="O31" s="87" t="n"/>
      <c r="P31" s="5">
        <f>IF(A31="",0,COUNTIF(A$30:A30,A31))</f>
        <v/>
      </c>
      <c r="Q31" s="87" t="n"/>
    </row>
    <row r="32" ht="18" customHeight="1" s="44">
      <c r="A32" s="96" t="inlineStr">
        <is>
          <t>Exclusive Dinner (Michelin/Fine)</t>
        </is>
      </c>
      <c r="B32" s="97" t="n">
        <v>2</v>
      </c>
      <c r="C32" s="98">
        <f>IF(A32="","",VLOOKUP(A32,'Master Data'!$A$42:$C$50,2,FALSE))</f>
        <v/>
      </c>
      <c r="D32" s="98">
        <f>IF(A32="","",VLOOKUP(A32,'Master Data'!$A$42:$C$50,3,FALSE))</f>
        <v/>
      </c>
      <c r="E32" s="99">
        <f>IF(D32&gt;0,(D32-C32)/D32,0)</f>
        <v/>
      </c>
      <c r="F32" s="87" t="n"/>
      <c r="G32" s="87" t="n"/>
      <c r="H32" s="87" t="n"/>
      <c r="I32" s="87" t="n"/>
      <c r="J32" s="100" t="inlineStr">
        <is>
          <t>+</t>
        </is>
      </c>
      <c r="K32" s="98">
        <f>IF(A32="","",IF(L30="PG",IF((F32="●")+(G32="●")+(H32="●")+(I32="●")+(L32="●")+(M32="●")+(N32="●")+(O32="●")&gt;0,B32*C32,0),ROUNDUP((F32="●")+(G32="●")+(H32="●")+(I32="●")+(L32="●")+(M32="●")+(N32="●")+(O32="●")/VALUE(MID(L30,2,2)),0)*B32*C32))</f>
        <v/>
      </c>
      <c r="L32" s="98">
        <f>IF(A32="","",IF(L30="PG",IF((F32="●")+(G32="●")+(H32="●")+(I32="●")+(L32="●")+(M32="●")+(N32="●")+(O32="●")&gt;0,B32*D32,0),ROUNDUP((F32="●")+(G32="●")+(H32="●")+(I32="●")+(L32="●")+(M32="●")+(N32="●")+(O32="●")/VALUE(MID(L30,2,2)),0)*B32*D32))</f>
        <v/>
      </c>
      <c r="M32" s="87" t="n"/>
      <c r="N32" s="87" t="n"/>
      <c r="O32" s="87" t="n"/>
      <c r="P32" s="5">
        <f>IF(A32="",0,COUNTIF(A$30:A31,A32))</f>
        <v/>
      </c>
      <c r="Q32" s="87" t="n"/>
    </row>
    <row r="33" ht="18" customHeight="1" s="44">
      <c r="A33" s="96" t="inlineStr">
        <is>
          <t>Lunch</t>
        </is>
      </c>
      <c r="B33" s="97" t="n">
        <v>3</v>
      </c>
      <c r="C33" s="98">
        <f>IF(A33="","",VLOOKUP(A33,'Master Data'!$A$42:$C$50,2,FALSE))</f>
        <v/>
      </c>
      <c r="D33" s="98">
        <f>IF(A33="","",VLOOKUP(A33,'Master Data'!$A$42:$C$50,3,FALSE))</f>
        <v/>
      </c>
      <c r="E33" s="99">
        <f>IF(D33&gt;0,(D33-C33)/D33,0)</f>
        <v/>
      </c>
      <c r="F33" s="87" t="n"/>
      <c r="G33" s="87" t="n"/>
      <c r="H33" s="87" t="n"/>
      <c r="I33" s="87" t="n"/>
      <c r="J33" s="100" t="inlineStr">
        <is>
          <t>+</t>
        </is>
      </c>
      <c r="K33" s="98">
        <f>IF(A33="","",IF(L30="PG",IF((F33="●")+(G33="●")+(H33="●")+(I33="●")+(L33="●")+(M33="●")+(N33="●")+(O33="●")&gt;0,B33*C33,0),ROUNDUP((F33="●")+(G33="●")+(H33="●")+(I33="●")+(L33="●")+(M33="●")+(N33="●")+(O33="●")/VALUE(MID(L30,2,2)),0)*B33*C33))</f>
        <v/>
      </c>
      <c r="L33" s="98">
        <f>IF(A33="","",IF(L30="PG",IF((F33="●")+(G33="●")+(H33="●")+(I33="●")+(L33="●")+(M33="●")+(N33="●")+(O33="●")&gt;0,B33*D33,0),ROUNDUP((F33="●")+(G33="●")+(H33="●")+(I33="●")+(L33="●")+(M33="●")+(N33="●")+(O33="●")/VALUE(MID(L30,2,2)),0)*B33*D33))</f>
        <v/>
      </c>
      <c r="M33" s="87" t="n"/>
      <c r="N33" s="87" t="n"/>
      <c r="O33" s="87" t="n"/>
      <c r="P33" s="5">
        <f>IF(A33="",0,COUNTIF(A$30:A32,A33))</f>
        <v/>
      </c>
      <c r="Q33" s="87" t="n"/>
    </row>
    <row r="34" ht="18" customHeight="1" s="44">
      <c r="A34" s="101" t="n"/>
      <c r="B34" s="100" t="n"/>
      <c r="C34" s="98">
        <f>IF(A34="","",VLOOKUP(A34,'Master Data'!$A$42:$C$50,2,FALSE))</f>
        <v/>
      </c>
      <c r="D34" s="98">
        <f>IF(A34="","",VLOOKUP(A34,'Master Data'!$A$42:$C$50,3,FALSE))</f>
        <v/>
      </c>
      <c r="E34" s="99">
        <f>IF(D34&gt;0,(D34-C34)/D34,0)</f>
        <v/>
      </c>
      <c r="F34" s="87" t="n"/>
      <c r="G34" s="87" t="n"/>
      <c r="H34" s="87" t="n"/>
      <c r="I34" s="87" t="n"/>
      <c r="J34" s="100" t="inlineStr">
        <is>
          <t>+</t>
        </is>
      </c>
      <c r="K34" s="98">
        <f>IF(A34="","",IF(L30="PG",IF((F34="●")+(G34="●")+(H34="●")+(I34="●")+(L34="●")+(M34="●")+(N34="●")+(O34="●")&gt;0,B34*C34,0),ROUNDUP((F34="●")+(G34="●")+(H34="●")+(I34="●")+(L34="●")+(M34="●")+(N34="●")+(O34="●")/VALUE(MID(L30,2,2)),0)*B34*C34))</f>
        <v/>
      </c>
      <c r="L34" s="98">
        <f>IF(A34="","",IF(L30="PG",IF((F34="●")+(G34="●")+(H34="●")+(I34="●")+(L34="●")+(M34="●")+(N34="●")+(O34="●")&gt;0,B34*D34,0),ROUNDUP((F34="●")+(G34="●")+(H34="●")+(I34="●")+(L34="●")+(M34="●")+(N34="●")+(O34="●")/VALUE(MID(L30,2,2)),0)*B34*D34))</f>
        <v/>
      </c>
      <c r="M34" s="87" t="n"/>
      <c r="N34" s="87" t="n"/>
      <c r="O34" s="87" t="n"/>
      <c r="P34" s="5">
        <f>IF(A34="",0,COUNTIF(A$30:A33,A34))</f>
        <v/>
      </c>
      <c r="Q34" s="87" t="n"/>
    </row>
    <row r="35" ht="18" customHeight="1" s="44">
      <c r="A35" s="102" t="inlineStr">
        <is>
          <t>SUBTOTAL</t>
        </is>
      </c>
      <c r="B35" s="104" t="n"/>
      <c r="C35" s="104" t="n"/>
      <c r="D35" s="104" t="n"/>
      <c r="E35" s="105" t="n"/>
      <c r="F35" s="103">
        <f>SUMPRODUCT((F30:F34="●")*1,B30:B34,C30:C34)</f>
        <v/>
      </c>
      <c r="G35" s="103">
        <f>SUMPRODUCT((G30:G34="●")*1,B30:B34,C30:C34)</f>
        <v/>
      </c>
      <c r="H35" s="103">
        <f>SUMPRODUCT((H30:H34="●")*1,B30:B34,C30:C34)</f>
        <v/>
      </c>
      <c r="I35" s="103">
        <f>SUMPRODUCT((I30:I34="●")*1,B30:B34,C30:C34)</f>
        <v/>
      </c>
      <c r="J35" s="104" t="n"/>
      <c r="K35" s="103">
        <f>SUM(K30:K34)</f>
        <v/>
      </c>
      <c r="L35" s="103">
        <f>SUM(L30:L34)</f>
        <v/>
      </c>
      <c r="M35" s="103">
        <f>SUMPRODUCT((M30:M34="●")*1,B30:B34,C30:C34)</f>
        <v/>
      </c>
      <c r="N35" s="103">
        <f>SUMPRODUCT((N30:N34="●")*1,B30:B34,C30:C34)</f>
        <v/>
      </c>
      <c r="O35" s="103">
        <f>SUMPRODUCT((O30:O34="●")*1,B30:B34,C30:C34)</f>
        <v/>
      </c>
      <c r="P35" s="91">
        <f>SUM(P30:P34)</f>
        <v/>
      </c>
      <c r="Q35" s="91" t="n"/>
    </row>
    <row r="36" ht="6" customHeight="1" s="44">
      <c r="A36" s="89" t="n"/>
      <c r="B36" s="89" t="n"/>
      <c r="C36" s="89" t="n"/>
      <c r="D36" s="89" t="n"/>
      <c r="E36" s="89" t="n"/>
      <c r="F36" s="106" t="n"/>
      <c r="G36" s="106" t="n"/>
      <c r="H36" s="106" t="n"/>
      <c r="I36" s="106" t="n"/>
      <c r="J36" s="106" t="n"/>
      <c r="K36" s="106" t="n"/>
      <c r="L36" s="106" t="n"/>
      <c r="M36" s="106" t="n"/>
      <c r="N36" s="106" t="n"/>
      <c r="O36" s="106" t="n"/>
      <c r="P36" s="89" t="n"/>
      <c r="Q36" s="89" t="n"/>
    </row>
    <row r="37"/>
    <row r="38">
      <c r="A38" s="95" t="inlineStr">
        <is>
          <t>📦 OTHER</t>
        </is>
      </c>
      <c r="B38" s="48" t="n"/>
      <c r="C38" s="48" t="n"/>
      <c r="D38" s="48" t="n"/>
      <c r="E38" s="48" t="n"/>
      <c r="F38" s="48" t="n"/>
      <c r="G38" s="48" t="n"/>
      <c r="H38" s="48" t="n"/>
      <c r="I38" s="48" t="n"/>
      <c r="J38" s="48" t="n"/>
      <c r="K38" s="46" t="n"/>
      <c r="L38" s="91" t="inlineStr">
        <is>
          <t>PG</t>
        </is>
      </c>
      <c r="M38" s="94" t="n"/>
      <c r="N38" s="94" t="n"/>
      <c r="O38" s="94" t="n"/>
      <c r="P38" s="94" t="n"/>
      <c r="Q38" s="94" t="n"/>
    </row>
    <row r="39" ht="18" customHeight="1" s="44">
      <c r="A39" s="101" t="n"/>
      <c r="B39" s="100" t="n"/>
      <c r="C39" s="98">
        <f>IF(A39="","",VLOOKUP(A39,'Master Data'!$A$55:$C$61,2,FALSE))</f>
        <v/>
      </c>
      <c r="D39" s="98">
        <f>IF(A39="","",VLOOKUP(A39,'Master Data'!$A$55:$C$61,3,FALSE))</f>
        <v/>
      </c>
      <c r="E39" s="99">
        <f>IF(D39&gt;0,(D39-C39)/D39,0)</f>
        <v/>
      </c>
      <c r="F39" s="87" t="n"/>
      <c r="G39" s="87" t="n"/>
      <c r="H39" s="87" t="n"/>
      <c r="I39" s="87" t="n"/>
      <c r="J39" s="100" t="inlineStr">
        <is>
          <t>+</t>
        </is>
      </c>
      <c r="K39" s="98">
        <f>IF(A39="","",IF(L38="PG",IF((F39="●")+(G39="●")+(H39="●")+(I39="●")+(L39="●")+(M39="●")+(N39="●")+(O39="●")&gt;0,B39*C39,0),ROUNDUP((F39="●")+(G39="●")+(H39="●")+(I39="●")+(L39="●")+(M39="●")+(N39="●")+(O39="●")/VALUE(MID(L38,2,2)),0)*B39*C39))</f>
        <v/>
      </c>
      <c r="L39" s="98">
        <f>IF(A39="","",IF(L38="PG",IF((F39="●")+(G39="●")+(H39="●")+(I39="●")+(L39="●")+(M39="●")+(N39="●")+(O39="●")&gt;0,B39*D39,0),ROUNDUP((F39="●")+(G39="●")+(H39="●")+(I39="●")+(L39="●")+(M39="●")+(N39="●")+(O39="●")/VALUE(MID(L38,2,2)),0)*B39*D39))</f>
        <v/>
      </c>
      <c r="M39" s="87" t="n"/>
      <c r="N39" s="87" t="n"/>
      <c r="O39" s="87" t="n"/>
      <c r="P39" s="5">
        <f>IF(A39="",0,COUNTIF(A$38:A38,A39))</f>
        <v/>
      </c>
      <c r="Q39" s="87" t="n"/>
    </row>
    <row r="40" ht="18" customHeight="1" s="44">
      <c r="A40" s="101" t="n"/>
      <c r="B40" s="100" t="n"/>
      <c r="C40" s="98">
        <f>IF(A40="","",VLOOKUP(A40,'Master Data'!$A$55:$C$61,2,FALSE))</f>
        <v/>
      </c>
      <c r="D40" s="98">
        <f>IF(A40="","",VLOOKUP(A40,'Master Data'!$A$55:$C$61,3,FALSE))</f>
        <v/>
      </c>
      <c r="E40" s="99">
        <f>IF(D40&gt;0,(D40-C40)/D40,0)</f>
        <v/>
      </c>
      <c r="F40" s="87" t="n"/>
      <c r="G40" s="87" t="n"/>
      <c r="H40" s="87" t="n"/>
      <c r="I40" s="87" t="n"/>
      <c r="J40" s="100" t="inlineStr">
        <is>
          <t>+</t>
        </is>
      </c>
      <c r="K40" s="98">
        <f>IF(A40="","",IF(L38="PG",IF((F40="●")+(G40="●")+(H40="●")+(I40="●")+(L40="●")+(M40="●")+(N40="●")+(O40="●")&gt;0,B40*C40,0),ROUNDUP((F40="●")+(G40="●")+(H40="●")+(I40="●")+(L40="●")+(M40="●")+(N40="●")+(O40="●")/VALUE(MID(L38,2,2)),0)*B40*C40))</f>
        <v/>
      </c>
      <c r="L40" s="98">
        <f>IF(A40="","",IF(L38="PG",IF((F40="●")+(G40="●")+(H40="●")+(I40="●")+(L40="●")+(M40="●")+(N40="●")+(O40="●")&gt;0,B40*D40,0),ROUNDUP((F40="●")+(G40="●")+(H40="●")+(I40="●")+(L40="●")+(M40="●")+(N40="●")+(O40="●")/VALUE(MID(L38,2,2)),0)*B40*D40))</f>
        <v/>
      </c>
      <c r="M40" s="87" t="n"/>
      <c r="N40" s="87" t="n"/>
      <c r="O40" s="87" t="n"/>
      <c r="P40" s="5">
        <f>IF(A40="",0,COUNTIF(A$38:A39,A40))</f>
        <v/>
      </c>
      <c r="Q40" s="87" t="n"/>
    </row>
    <row r="41" ht="18" customHeight="1" s="44">
      <c r="A41" s="102" t="inlineStr">
        <is>
          <t>SUBTOTAL</t>
        </is>
      </c>
      <c r="B41" s="104" t="n"/>
      <c r="C41" s="104" t="n"/>
      <c r="D41" s="104" t="n"/>
      <c r="E41" s="105" t="n"/>
      <c r="F41" s="103">
        <f>SUMPRODUCT((F38:F40="●")*1,B38:B40,C38:C40)</f>
        <v/>
      </c>
      <c r="G41" s="103">
        <f>SUMPRODUCT((G38:G40="●")*1,B38:B40,C38:C40)</f>
        <v/>
      </c>
      <c r="H41" s="103">
        <f>SUMPRODUCT((H38:H40="●")*1,B38:B40,C38:C40)</f>
        <v/>
      </c>
      <c r="I41" s="103">
        <f>SUMPRODUCT((I38:I40="●")*1,B38:B40,C38:C40)</f>
        <v/>
      </c>
      <c r="J41" s="104" t="n"/>
      <c r="K41" s="103">
        <f>SUM(K38:K40)</f>
        <v/>
      </c>
      <c r="L41" s="103">
        <f>SUM(L38:L40)</f>
        <v/>
      </c>
      <c r="M41" s="103">
        <f>SUMPRODUCT((M38:M40="●")*1,B38:B40,C38:C40)</f>
        <v/>
      </c>
      <c r="N41" s="103">
        <f>SUMPRODUCT((N38:N40="●")*1,B38:B40,C38:C40)</f>
        <v/>
      </c>
      <c r="O41" s="103">
        <f>SUMPRODUCT((O38:O40="●")*1,B38:B40,C38:C40)</f>
        <v/>
      </c>
      <c r="P41" s="91">
        <f>SUM(P38:P40)</f>
        <v/>
      </c>
      <c r="Q41" s="91" t="n"/>
    </row>
    <row r="42" ht="6" customHeight="1" s="44">
      <c r="A42" s="89" t="n"/>
      <c r="B42" s="89" t="n"/>
      <c r="C42" s="89" t="n"/>
      <c r="D42" s="89" t="n"/>
      <c r="E42" s="89" t="n"/>
      <c r="F42" s="106" t="n"/>
      <c r="G42" s="106" t="n"/>
      <c r="H42" s="106" t="n"/>
      <c r="I42" s="106" t="n"/>
      <c r="J42" s="106" t="n"/>
      <c r="K42" s="106" t="n"/>
      <c r="L42" s="106" t="n"/>
      <c r="M42" s="106" t="n"/>
      <c r="N42" s="106" t="n"/>
      <c r="O42" s="106" t="n"/>
      <c r="P42" s="89" t="n"/>
      <c r="Q42" s="89" t="n"/>
    </row>
    <row r="43"/>
    <row r="44">
      <c r="A44" s="95" t="inlineStr">
        <is>
          <t>🎯 ACTIVITIES</t>
        </is>
      </c>
      <c r="B44" s="48" t="n"/>
      <c r="C44" s="48" t="n"/>
      <c r="D44" s="48" t="n"/>
      <c r="E44" s="48" t="n"/>
      <c r="F44" s="48" t="n"/>
      <c r="G44" s="48" t="n"/>
      <c r="H44" s="48" t="n"/>
      <c r="I44" s="48" t="n"/>
      <c r="J44" s="48" t="n"/>
      <c r="K44" s="46" t="n"/>
      <c r="L44" s="91" t="inlineStr">
        <is>
          <t>P1</t>
        </is>
      </c>
      <c r="M44" s="94" t="n"/>
      <c r="N44" s="94" t="n"/>
      <c r="O44" s="94" t="n"/>
      <c r="P44" s="94" t="n"/>
      <c r="Q44" s="94" t="n"/>
    </row>
    <row r="45" ht="18" customHeight="1" s="44">
      <c r="A45" s="96" t="inlineStr">
        <is>
          <t>Local Hiking (Griffith/Runyon)</t>
        </is>
      </c>
      <c r="B45" s="97" t="n">
        <v>1</v>
      </c>
      <c r="C45" s="98">
        <f>IF(A45="","",VLOOKUP(A45,'Master Data'!$A$65:$C$73,2,FALSE))</f>
        <v/>
      </c>
      <c r="D45" s="98">
        <f>IF(A45="","",VLOOKUP(A45,'Master Data'!$A$65:$C$73,3,FALSE))</f>
        <v/>
      </c>
      <c r="E45" s="99">
        <f>IF(D45&gt;0,(D45-C45)/D45,0)</f>
        <v/>
      </c>
      <c r="F45" s="87" t="n"/>
      <c r="G45" s="87" t="n"/>
      <c r="H45" s="87" t="n"/>
      <c r="I45" s="87" t="n"/>
      <c r="J45" s="100" t="inlineStr">
        <is>
          <t>+</t>
        </is>
      </c>
      <c r="K45" s="98">
        <f>IF(A45="","",IF(L44="PG",IF((F45="●")+(G45="●")+(H45="●")+(I45="●")+(L45="●")+(M45="●")+(N45="●")+(O45="●")&gt;0,B45*C45,0),ROUNDUP((F45="●")+(G45="●")+(H45="●")+(I45="●")+(L45="●")+(M45="●")+(N45="●")+(O45="●")/VALUE(MID(L44,2,2)),0)*B45*C45))</f>
        <v/>
      </c>
      <c r="L45" s="98">
        <f>IF(A45="","",IF(L44="PG",IF((F45="●")+(G45="●")+(H45="●")+(I45="●")+(L45="●")+(M45="●")+(N45="●")+(O45="●")&gt;0,B45*D45,0),ROUNDUP((F45="●")+(G45="●")+(H45="●")+(I45="●")+(L45="●")+(M45="●")+(N45="●")+(O45="●")/VALUE(MID(L44,2,2)),0)*B45*D45))</f>
        <v/>
      </c>
      <c r="M45" s="87" t="n"/>
      <c r="N45" s="87" t="n"/>
      <c r="O45" s="87" t="n"/>
      <c r="P45" s="5">
        <f>IF(A45="",0,COUNTIF(A$44:A44,A45))</f>
        <v/>
      </c>
      <c r="Q45" s="87" t="n"/>
    </row>
    <row r="46" ht="18" customHeight="1" s="44">
      <c r="A46" s="96" t="inlineStr">
        <is>
          <t>NBA/MLB Game (Ticket)</t>
        </is>
      </c>
      <c r="B46" s="97" t="n">
        <v>1</v>
      </c>
      <c r="C46" s="98">
        <f>IF(A46="","",VLOOKUP(A46,'Master Data'!$A$65:$C$73,2,FALSE))</f>
        <v/>
      </c>
      <c r="D46" s="98">
        <f>IF(A46="","",VLOOKUP(A46,'Master Data'!$A$65:$C$73,3,FALSE))</f>
        <v/>
      </c>
      <c r="E46" s="99">
        <f>IF(D46&gt;0,(D46-C46)/D46,0)</f>
        <v/>
      </c>
      <c r="F46" s="87" t="n"/>
      <c r="G46" s="87" t="n"/>
      <c r="H46" s="87" t="n"/>
      <c r="I46" s="87" t="n"/>
      <c r="J46" s="100" t="inlineStr">
        <is>
          <t>+</t>
        </is>
      </c>
      <c r="K46" s="98">
        <f>IF(A46="","",IF(L44="PG",IF((F46="●")+(G46="●")+(H46="●")+(I46="●")+(L46="●")+(M46="●")+(N46="●")+(O46="●")&gt;0,B46*C46,0),ROUNDUP((F46="●")+(G46="●")+(H46="●")+(I46="●")+(L46="●")+(M46="●")+(N46="●")+(O46="●")/VALUE(MID(L44,2,2)),0)*B46*C46))</f>
        <v/>
      </c>
      <c r="L46" s="98">
        <f>IF(A46="","",IF(L44="PG",IF((F46="●")+(G46="●")+(H46="●")+(I46="●")+(L46="●")+(M46="●")+(N46="●")+(O46="●")&gt;0,B46*D46,0),ROUNDUP((F46="●")+(G46="●")+(H46="●")+(I46="●")+(L46="●")+(M46="●")+(N46="●")+(O46="●")/VALUE(MID(L44,2,2)),0)*B46*D46))</f>
        <v/>
      </c>
      <c r="M46" s="87" t="n"/>
      <c r="N46" s="87" t="n"/>
      <c r="O46" s="87" t="n"/>
      <c r="P46" s="5">
        <f>IF(A46="",0,COUNTIF(A$44:A45,A46))</f>
        <v/>
      </c>
      <c r="Q46" s="87" t="n"/>
    </row>
    <row r="47" ht="18" customHeight="1" s="44">
      <c r="A47" s="96" t="inlineStr">
        <is>
          <t>Sports Bar Experience</t>
        </is>
      </c>
      <c r="B47" s="97" t="n">
        <v>1</v>
      </c>
      <c r="C47" s="98">
        <f>IF(A47="","",VLOOKUP(A47,'Master Data'!$A$65:$C$73,2,FALSE))</f>
        <v/>
      </c>
      <c r="D47" s="98">
        <f>IF(A47="","",VLOOKUP(A47,'Master Data'!$A$65:$C$73,3,FALSE))</f>
        <v/>
      </c>
      <c r="E47" s="99">
        <f>IF(D47&gt;0,(D47-C47)/D47,0)</f>
        <v/>
      </c>
      <c r="F47" s="87" t="n"/>
      <c r="G47" s="87" t="n"/>
      <c r="H47" s="87" t="n"/>
      <c r="I47" s="87" t="n"/>
      <c r="J47" s="100" t="inlineStr">
        <is>
          <t>+</t>
        </is>
      </c>
      <c r="K47" s="98">
        <f>IF(A47="","",IF(L44="PG",IF((F47="●")+(G47="●")+(H47="●")+(I47="●")+(L47="●")+(M47="●")+(N47="●")+(O47="●")&gt;0,B47*C47,0),ROUNDUP((F47="●")+(G47="●")+(H47="●")+(I47="●")+(L47="●")+(M47="●")+(N47="●")+(O47="●")/VALUE(MID(L44,2,2)),0)*B47*C47))</f>
        <v/>
      </c>
      <c r="L47" s="98">
        <f>IF(A47="","",IF(L44="PG",IF((F47="●")+(G47="●")+(H47="●")+(I47="●")+(L47="●")+(M47="●")+(N47="●")+(O47="●")&gt;0,B47*D47,0),ROUNDUP((F47="●")+(G47="●")+(H47="●")+(I47="●")+(L47="●")+(M47="●")+(N47="●")+(O47="●")/VALUE(MID(L44,2,2)),0)*B47*D47))</f>
        <v/>
      </c>
      <c r="M47" s="87" t="n"/>
      <c r="N47" s="87" t="n"/>
      <c r="O47" s="87" t="n"/>
      <c r="P47" s="5">
        <f>IF(A47="",0,COUNTIF(A$44:A46,A47))</f>
        <v/>
      </c>
      <c r="Q47" s="87" t="n"/>
    </row>
    <row r="48" ht="18" customHeight="1" s="44">
      <c r="A48" s="101" t="n"/>
      <c r="B48" s="100" t="n"/>
      <c r="C48" s="98">
        <f>IF(A48="","",VLOOKUP(A48,'Master Data'!$A$65:$C$73,2,FALSE))</f>
        <v/>
      </c>
      <c r="D48" s="98">
        <f>IF(A48="","",VLOOKUP(A48,'Master Data'!$A$65:$C$73,3,FALSE))</f>
        <v/>
      </c>
      <c r="E48" s="99">
        <f>IF(D48&gt;0,(D48-C48)/D48,0)</f>
        <v/>
      </c>
      <c r="F48" s="87" t="n"/>
      <c r="G48" s="87" t="n"/>
      <c r="H48" s="87" t="n"/>
      <c r="I48" s="87" t="n"/>
      <c r="J48" s="100" t="inlineStr">
        <is>
          <t>+</t>
        </is>
      </c>
      <c r="K48" s="98">
        <f>IF(A48="","",IF(L44="PG",IF((F48="●")+(G48="●")+(H48="●")+(I48="●")+(L48="●")+(M48="●")+(N48="●")+(O48="●")&gt;0,B48*C48,0),ROUNDUP((F48="●")+(G48="●")+(H48="●")+(I48="●")+(L48="●")+(M48="●")+(N48="●")+(O48="●")/VALUE(MID(L44,2,2)),0)*B48*C48))</f>
        <v/>
      </c>
      <c r="L48" s="98">
        <f>IF(A48="","",IF(L44="PG",IF((F48="●")+(G48="●")+(H48="●")+(I48="●")+(L48="●")+(M48="●")+(N48="●")+(O48="●")&gt;0,B48*D48,0),ROUNDUP((F48="●")+(G48="●")+(H48="●")+(I48="●")+(L48="●")+(M48="●")+(N48="●")+(O48="●")/VALUE(MID(L44,2,2)),0)*B48*D48))</f>
        <v/>
      </c>
      <c r="M48" s="87" t="n"/>
      <c r="N48" s="87" t="n"/>
      <c r="O48" s="87" t="n"/>
      <c r="P48" s="5">
        <f>IF(A48="",0,COUNTIF(A$44:A47,A48))</f>
        <v/>
      </c>
      <c r="Q48" s="87" t="n"/>
    </row>
    <row r="49" ht="18" customHeight="1" s="44">
      <c r="A49" s="101" t="n"/>
      <c r="B49" s="100" t="n"/>
      <c r="C49" s="98">
        <f>IF(A49="","",VLOOKUP(A49,'Master Data'!$A$65:$C$73,2,FALSE))</f>
        <v/>
      </c>
      <c r="D49" s="98">
        <f>IF(A49="","",VLOOKUP(A49,'Master Data'!$A$65:$C$73,3,FALSE))</f>
        <v/>
      </c>
      <c r="E49" s="99">
        <f>IF(D49&gt;0,(D49-C49)/D49,0)</f>
        <v/>
      </c>
      <c r="F49" s="87" t="n"/>
      <c r="G49" s="87" t="n"/>
      <c r="H49" s="87" t="n"/>
      <c r="I49" s="87" t="n"/>
      <c r="J49" s="100" t="inlineStr">
        <is>
          <t>+</t>
        </is>
      </c>
      <c r="K49" s="98">
        <f>IF(A49="","",IF(L44="PG",IF((F49="●")+(G49="●")+(H49="●")+(I49="●")+(L49="●")+(M49="●")+(N49="●")+(O49="●")&gt;0,B49*C49,0),ROUNDUP((F49="●")+(G49="●")+(H49="●")+(I49="●")+(L49="●")+(M49="●")+(N49="●")+(O49="●")/VALUE(MID(L44,2,2)),0)*B49*C49))</f>
        <v/>
      </c>
      <c r="L49" s="98">
        <f>IF(A49="","",IF(L44="PG",IF((F49="●")+(G49="●")+(H49="●")+(I49="●")+(L49="●")+(M49="●")+(N49="●")+(O49="●")&gt;0,B49*D49,0),ROUNDUP((F49="●")+(G49="●")+(H49="●")+(I49="●")+(L49="●")+(M49="●")+(N49="●")+(O49="●")/VALUE(MID(L44,2,2)),0)*B49*D49))</f>
        <v/>
      </c>
      <c r="M49" s="87" t="n"/>
      <c r="N49" s="87" t="n"/>
      <c r="O49" s="87" t="n"/>
      <c r="P49" s="5">
        <f>IF(A49="",0,COUNTIF(A$44:A48,A49))</f>
        <v/>
      </c>
      <c r="Q49" s="87" t="n"/>
    </row>
    <row r="50" ht="18" customHeight="1" s="44">
      <c r="A50" s="101" t="n"/>
      <c r="B50" s="100" t="n"/>
      <c r="C50" s="98">
        <f>IF(A50="","",VLOOKUP(A50,'Master Data'!$A$65:$C$73,2,FALSE))</f>
        <v/>
      </c>
      <c r="D50" s="98">
        <f>IF(A50="","",VLOOKUP(A50,'Master Data'!$A$65:$C$73,3,FALSE))</f>
        <v/>
      </c>
      <c r="E50" s="99">
        <f>IF(D50&gt;0,(D50-C50)/D50,0)</f>
        <v/>
      </c>
      <c r="F50" s="87" t="n"/>
      <c r="G50" s="87" t="n"/>
      <c r="H50" s="87" t="n"/>
      <c r="I50" s="87" t="n"/>
      <c r="J50" s="100" t="inlineStr">
        <is>
          <t>+</t>
        </is>
      </c>
      <c r="K50" s="98">
        <f>IF(A50="","",IF(L44="PG",IF((F50="●")+(G50="●")+(H50="●")+(I50="●")+(L50="●")+(M50="●")+(N50="●")+(O50="●")&gt;0,B50*C50,0),ROUNDUP((F50="●")+(G50="●")+(H50="●")+(I50="●")+(L50="●")+(M50="●")+(N50="●")+(O50="●")/VALUE(MID(L44,2,2)),0)*B50*C50))</f>
        <v/>
      </c>
      <c r="L50" s="98">
        <f>IF(A50="","",IF(L44="PG",IF((F50="●")+(G50="●")+(H50="●")+(I50="●")+(L50="●")+(M50="●")+(N50="●")+(O50="●")&gt;0,B50*D50,0),ROUNDUP((F50="●")+(G50="●")+(H50="●")+(I50="●")+(L50="●")+(M50="●")+(N50="●")+(O50="●")/VALUE(MID(L44,2,2)),0)*B50*D50))</f>
        <v/>
      </c>
      <c r="M50" s="87" t="n"/>
      <c r="N50" s="87" t="n"/>
      <c r="O50" s="87" t="n"/>
      <c r="P50" s="5">
        <f>IF(A50="",0,COUNTIF(A$44:A49,A50))</f>
        <v/>
      </c>
      <c r="Q50" s="87" t="n"/>
    </row>
    <row r="51" ht="18" customHeight="1" s="44">
      <c r="A51" s="101" t="n"/>
      <c r="B51" s="100" t="n"/>
      <c r="C51" s="98">
        <f>IF(A51="","",VLOOKUP(A51,'Master Data'!$A$65:$C$73,2,FALSE))</f>
        <v/>
      </c>
      <c r="D51" s="98">
        <f>IF(A51="","",VLOOKUP(A51,'Master Data'!$A$65:$C$73,3,FALSE))</f>
        <v/>
      </c>
      <c r="E51" s="99">
        <f>IF(D51&gt;0,(D51-C51)/D51,0)</f>
        <v/>
      </c>
      <c r="F51" s="87" t="n"/>
      <c r="G51" s="87" t="n"/>
      <c r="H51" s="87" t="n"/>
      <c r="I51" s="87" t="n"/>
      <c r="J51" s="100" t="inlineStr">
        <is>
          <t>+</t>
        </is>
      </c>
      <c r="K51" s="98">
        <f>IF(A51="","",IF(L44="PG",IF((F51="●")+(G51="●")+(H51="●")+(I51="●")+(L51="●")+(M51="●")+(N51="●")+(O51="●")&gt;0,B51*C51,0),ROUNDUP((F51="●")+(G51="●")+(H51="●")+(I51="●")+(L51="●")+(M51="●")+(N51="●")+(O51="●")/VALUE(MID(L44,2,2)),0)*B51*C51))</f>
        <v/>
      </c>
      <c r="L51" s="98">
        <f>IF(A51="","",IF(L44="PG",IF((F51="●")+(G51="●")+(H51="●")+(I51="●")+(L51="●")+(M51="●")+(N51="●")+(O51="●")&gt;0,B51*D51,0),ROUNDUP((F51="●")+(G51="●")+(H51="●")+(I51="●")+(L51="●")+(M51="●")+(N51="●")+(O51="●")/VALUE(MID(L44,2,2)),0)*B51*D51))</f>
        <v/>
      </c>
      <c r="M51" s="87" t="n"/>
      <c r="N51" s="87" t="n"/>
      <c r="O51" s="87" t="n"/>
      <c r="P51" s="5">
        <f>IF(A51="",0,COUNTIF(A$44:A50,A51))</f>
        <v/>
      </c>
      <c r="Q51" s="87" t="n"/>
    </row>
    <row r="52" ht="18" customHeight="1" s="44">
      <c r="A52" s="101" t="n"/>
      <c r="B52" s="100" t="n"/>
      <c r="C52" s="98">
        <f>IF(A52="","",VLOOKUP(A52,'Master Data'!$A$65:$C$73,2,FALSE))</f>
        <v/>
      </c>
      <c r="D52" s="98">
        <f>IF(A52="","",VLOOKUP(A52,'Master Data'!$A$65:$C$73,3,FALSE))</f>
        <v/>
      </c>
      <c r="E52" s="99">
        <f>IF(D52&gt;0,(D52-C52)/D52,0)</f>
        <v/>
      </c>
      <c r="F52" s="87" t="n"/>
      <c r="G52" s="87" t="n"/>
      <c r="H52" s="87" t="n"/>
      <c r="I52" s="87" t="n"/>
      <c r="J52" s="100" t="inlineStr">
        <is>
          <t>+</t>
        </is>
      </c>
      <c r="K52" s="98">
        <f>IF(A52="","",IF(L44="PG",IF((F52="●")+(G52="●")+(H52="●")+(I52="●")+(L52="●")+(M52="●")+(N52="●")+(O52="●")&gt;0,B52*C52,0),ROUNDUP((F52="●")+(G52="●")+(H52="●")+(I52="●")+(L52="●")+(M52="●")+(N52="●")+(O52="●")/VALUE(MID(L44,2,2)),0)*B52*C52))</f>
        <v/>
      </c>
      <c r="L52" s="98">
        <f>IF(A52="","",IF(L44="PG",IF((F52="●")+(G52="●")+(H52="●")+(I52="●")+(L52="●")+(M52="●")+(N52="●")+(O52="●")&gt;0,B52*D52,0),ROUNDUP((F52="●")+(G52="●")+(H52="●")+(I52="●")+(L52="●")+(M52="●")+(N52="●")+(O52="●")/VALUE(MID(L44,2,2)),0)*B52*D52))</f>
        <v/>
      </c>
      <c r="M52" s="87" t="n"/>
      <c r="N52" s="87" t="n"/>
      <c r="O52" s="87" t="n"/>
      <c r="P52" s="5">
        <f>IF(A52="",0,COUNTIF(A$44:A51,A52))</f>
        <v/>
      </c>
      <c r="Q52" s="87" t="n"/>
    </row>
    <row r="53" ht="18" customHeight="1" s="44">
      <c r="A53" s="102" t="inlineStr">
        <is>
          <t>SUBTOTAL</t>
        </is>
      </c>
      <c r="B53" s="104" t="n"/>
      <c r="C53" s="104" t="n"/>
      <c r="D53" s="104" t="n"/>
      <c r="E53" s="105" t="n"/>
      <c r="F53" s="103">
        <f>SUMPRODUCT((F44:F52="●")*1,B44:B52,C44:C52)</f>
        <v/>
      </c>
      <c r="G53" s="103">
        <f>SUMPRODUCT((G44:G52="●")*1,B44:B52,C44:C52)</f>
        <v/>
      </c>
      <c r="H53" s="103">
        <f>SUMPRODUCT((H44:H52="●")*1,B44:B52,C44:C52)</f>
        <v/>
      </c>
      <c r="I53" s="103">
        <f>SUMPRODUCT((I44:I52="●")*1,B44:B52,C44:C52)</f>
        <v/>
      </c>
      <c r="J53" s="104" t="n"/>
      <c r="K53" s="103">
        <f>SUM(K44:K52)</f>
        <v/>
      </c>
      <c r="L53" s="103">
        <f>SUM(L44:L52)</f>
        <v/>
      </c>
      <c r="M53" s="103">
        <f>SUMPRODUCT((M44:M52="●")*1,B44:B52,C44:C52)</f>
        <v/>
      </c>
      <c r="N53" s="103">
        <f>SUMPRODUCT((N44:N52="●")*1,B44:B52,C44:C52)</f>
        <v/>
      </c>
      <c r="O53" s="103">
        <f>SUMPRODUCT((O44:O52="●")*1,B44:B52,C44:C52)</f>
        <v/>
      </c>
      <c r="P53" s="91">
        <f>SUM(P44:P52)</f>
        <v/>
      </c>
      <c r="Q53" s="91" t="n"/>
    </row>
    <row r="54" ht="6" customHeight="1" s="44">
      <c r="A54" s="89" t="n"/>
      <c r="B54" s="89" t="n"/>
      <c r="C54" s="89" t="n"/>
      <c r="D54" s="89" t="n"/>
      <c r="E54" s="89" t="n"/>
      <c r="F54" s="106" t="n"/>
      <c r="G54" s="106" t="n"/>
      <c r="H54" s="106" t="n"/>
      <c r="I54" s="106" t="n"/>
      <c r="J54" s="106" t="n"/>
      <c r="K54" s="106" t="n"/>
      <c r="L54" s="106" t="n"/>
      <c r="M54" s="106" t="n"/>
      <c r="N54" s="106" t="n"/>
      <c r="O54" s="106" t="n"/>
      <c r="P54" s="89" t="n"/>
      <c r="Q54" s="89" t="n"/>
    </row>
    <row r="56"/>
    <row r="57">
      <c r="A57" s="95" t="inlineStr">
        <is>
          <t>🏆 GRAND TOTAL</t>
        </is>
      </c>
      <c r="B57" s="48" t="n"/>
      <c r="C57" s="48" t="n"/>
      <c r="D57" s="48" t="n"/>
      <c r="E57" s="48" t="n"/>
      <c r="F57" s="48" t="n"/>
      <c r="G57" s="48" t="n"/>
      <c r="H57" s="48" t="n"/>
      <c r="I57" s="48" t="n"/>
      <c r="J57" s="48" t="n"/>
      <c r="K57" s="48" t="n"/>
      <c r="L57" s="46" t="n"/>
    </row>
    <row r="58">
      <c r="A58" s="107" t="inlineStr">
        <is>
          <t>GOLF</t>
        </is>
      </c>
      <c r="B58" s="108" t="n"/>
      <c r="C58" s="108" t="n"/>
      <c r="D58" s="108" t="n"/>
      <c r="E58" s="108" t="n"/>
      <c r="F58" s="108" t="n"/>
      <c r="G58" s="108" t="n"/>
      <c r="H58" s="108" t="n"/>
      <c r="I58" s="108" t="n"/>
      <c r="J58" s="109">
        <f>K16</f>
        <v/>
      </c>
      <c r="K58" s="109">
        <f>L16</f>
        <v/>
      </c>
      <c r="L58" s="87" t="inlineStr">
        <is>
          <t>P1</t>
        </is>
      </c>
    </row>
    <row r="59">
      <c r="A59" s="107" t="inlineStr">
        <is>
          <t>HOTEL</t>
        </is>
      </c>
      <c r="B59" s="108" t="n"/>
      <c r="C59" s="108" t="n"/>
      <c r="D59" s="108" t="n"/>
      <c r="E59" s="108" t="n"/>
      <c r="F59" s="108" t="n"/>
      <c r="G59" s="108" t="n"/>
      <c r="H59" s="108" t="n"/>
      <c r="I59" s="108" t="n"/>
      <c r="J59" s="109">
        <f>K21</f>
        <v/>
      </c>
      <c r="K59" s="109">
        <f>L21</f>
        <v/>
      </c>
      <c r="L59" s="87" t="inlineStr">
        <is>
          <t>P2</t>
        </is>
      </c>
    </row>
    <row r="60">
      <c r="A60" s="107" t="inlineStr">
        <is>
          <t>TRANSPORT</t>
        </is>
      </c>
      <c r="B60" s="108" t="n"/>
      <c r="C60" s="108" t="n"/>
      <c r="D60" s="108" t="n"/>
      <c r="E60" s="108" t="n"/>
      <c r="F60" s="108" t="n"/>
      <c r="G60" s="108" t="n"/>
      <c r="H60" s="108" t="n"/>
      <c r="I60" s="108" t="n"/>
      <c r="J60" s="109">
        <f>K27</f>
        <v/>
      </c>
      <c r="K60" s="109">
        <f>L27</f>
        <v/>
      </c>
      <c r="L60" s="87" t="inlineStr">
        <is>
          <t>PG</t>
        </is>
      </c>
    </row>
    <row r="61">
      <c r="A61" s="107" t="inlineStr">
        <is>
          <t>MEALS</t>
        </is>
      </c>
      <c r="B61" s="108" t="n"/>
      <c r="C61" s="108" t="n"/>
      <c r="D61" s="108" t="n"/>
      <c r="E61" s="108" t="n"/>
      <c r="F61" s="108" t="n"/>
      <c r="G61" s="108" t="n"/>
      <c r="H61" s="108" t="n"/>
      <c r="I61" s="108" t="n"/>
      <c r="J61" s="109">
        <f>K35</f>
        <v/>
      </c>
      <c r="K61" s="109">
        <f>L35</f>
        <v/>
      </c>
      <c r="L61" s="87" t="inlineStr">
        <is>
          <t>P1</t>
        </is>
      </c>
    </row>
    <row r="62">
      <c r="A62" s="107" t="inlineStr">
        <is>
          <t>OTHER</t>
        </is>
      </c>
      <c r="B62" s="108" t="n"/>
      <c r="C62" s="108" t="n"/>
      <c r="D62" s="108" t="n"/>
      <c r="E62" s="108" t="n"/>
      <c r="F62" s="108" t="n"/>
      <c r="G62" s="108" t="n"/>
      <c r="H62" s="108" t="n"/>
      <c r="I62" s="108" t="n"/>
      <c r="J62" s="109">
        <f>K41</f>
        <v/>
      </c>
      <c r="K62" s="109">
        <f>L41</f>
        <v/>
      </c>
      <c r="L62" s="87" t="inlineStr">
        <is>
          <t>PG</t>
        </is>
      </c>
    </row>
    <row r="63">
      <c r="A63" s="107" t="inlineStr">
        <is>
          <t>ACTIVITIES</t>
        </is>
      </c>
      <c r="B63" s="108" t="n"/>
      <c r="C63" s="108" t="n"/>
      <c r="D63" s="108" t="n"/>
      <c r="E63" s="108" t="n"/>
      <c r="F63" s="108" t="n"/>
      <c r="G63" s="108" t="n"/>
      <c r="H63" s="108" t="n"/>
      <c r="I63" s="108" t="n"/>
      <c r="J63" s="109">
        <f>K53</f>
        <v/>
      </c>
      <c r="K63" s="109">
        <f>L53</f>
        <v/>
      </c>
      <c r="L63" s="87" t="inlineStr">
        <is>
          <t>P1</t>
        </is>
      </c>
    </row>
    <row r="64">
      <c r="A64" s="102" t="inlineStr">
        <is>
          <t>📌 GRAND TOTAL</t>
        </is>
      </c>
      <c r="B64" s="91" t="n"/>
      <c r="C64" s="110" t="inlineStr">
        <is>
          <t>Margin:</t>
        </is>
      </c>
      <c r="D64" s="105">
        <f>IF(K64&gt;0,(K64-J64)/K64,0)</f>
        <v/>
      </c>
      <c r="E64" s="91" t="n"/>
      <c r="F64" s="91" t="n"/>
      <c r="G64" s="91" t="n"/>
      <c r="H64" s="91" t="n"/>
      <c r="I64" s="91" t="n"/>
      <c r="J64" s="103">
        <f>SUM(J58:J63)</f>
        <v/>
      </c>
      <c r="K64" s="103">
        <f>SUM(K58:K63)</f>
        <v/>
      </c>
      <c r="L64" s="91" t="n"/>
    </row>
    <row r="65"/>
    <row r="66">
      <c r="A66" s="95" t="inlineStr">
        <is>
          <t>👤 PER PERSON</t>
        </is>
      </c>
      <c r="B66" s="48" t="n"/>
      <c r="C66" s="48" t="n"/>
      <c r="D66" s="48" t="n"/>
      <c r="E66" s="48" t="n"/>
      <c r="F66" s="48" t="n"/>
      <c r="G66" s="48" t="n"/>
      <c r="H66" s="48" t="n"/>
      <c r="I66" s="48" t="n"/>
      <c r="J66" s="48" t="n"/>
      <c r="K66" s="48" t="n"/>
      <c r="L66" s="46" t="n"/>
    </row>
    <row r="67">
      <c r="A67" s="85" t="inlineStr">
        <is>
          <t>Person</t>
        </is>
      </c>
      <c r="B67" s="85" t="inlineStr">
        <is>
          <t>Cost</t>
        </is>
      </c>
      <c r="C67" s="85" t="inlineStr">
        <is>
          <t>Sell</t>
        </is>
      </c>
      <c r="D67" s="85" t="inlineStr">
        <is>
          <t>Margin</t>
        </is>
      </c>
      <c r="E67" s="85" t="inlineStr">
        <is>
          <t>%</t>
        </is>
      </c>
      <c r="F67" s="85" t="inlineStr">
        <is>
          <t>#</t>
        </is>
      </c>
    </row>
    <row r="68">
      <c r="A68" s="83">
        <f>F2</f>
        <v/>
      </c>
      <c r="B68" s="98">
        <f>SUMPRODUCT((F11:F15="●")*1,B11:B15,C11:C15)+SUMPRODUCT((F18:F20="●")*1,B18:B20,C18:C20)+SUMPRODUCT((F24:F26="●")*1,B24:B26,C24:C26)+SUMPRODUCT((F30:F34="●")*1,B30:B34,C30:C34)+SUMPRODUCT((F38:F40="●")*1,B38:B40,C38:C40)+SUMPRODUCT((F44:F52="●")*1,B44:B52,C44:C52)</f>
        <v/>
      </c>
      <c r="C68" s="98">
        <f>SUMPRODUCT((F11:F15="●")*1,B11:B15,D11:D15)+SUMPRODUCT((F18:F20="●")*1,B18:B20,D18:D20)+SUMPRODUCT((F24:F26="●")*1,B24:B26,D24:D26)+SUMPRODUCT((F30:F34="●")*1,B30:B34,D30:D34)+SUMPRODUCT((F38:F40="●")*1,B38:B40,D38:D40)+SUMPRODUCT((F44:F52="●")*1,B44:B52,D44:D52)</f>
        <v/>
      </c>
      <c r="D68" s="98">
        <f>C68-B68</f>
        <v/>
      </c>
      <c r="E68" s="99">
        <f>IF(C68&gt;0,D68/C68,0)</f>
        <v/>
      </c>
      <c r="F68" s="87">
        <f>COUNTIF(F11:F15,"●")+COUNTIF(F18:F20,"●")+COUNTIF(F24:F26,"●")+COUNTIF(F30:F34,"●")+COUNTIF(F38:F40,"●")+COUNTIF(F44:F52,"●")</f>
        <v/>
      </c>
    </row>
    <row r="69">
      <c r="A69" s="83">
        <f>G2</f>
        <v/>
      </c>
      <c r="B69" s="98">
        <f>SUMPRODUCT((G11:G15="●")*1,B11:B15,C11:C15)+SUMPRODUCT((G18:G20="●")*1,B18:B20,C18:C20)+SUMPRODUCT((G24:G26="●")*1,B24:B26,C24:C26)+SUMPRODUCT((G30:G34="●")*1,B30:B34,C30:C34)+SUMPRODUCT((G38:G40="●")*1,B38:B40,C38:C40)+SUMPRODUCT((G44:G52="●")*1,B44:B52,C44:C52)</f>
        <v/>
      </c>
      <c r="C69" s="98">
        <f>SUMPRODUCT((G11:G15="●")*1,B11:B15,D11:D15)+SUMPRODUCT((G18:G20="●")*1,B18:B20,D18:D20)+SUMPRODUCT((G24:G26="●")*1,B24:B26,D24:D26)+SUMPRODUCT((G30:G34="●")*1,B30:B34,D30:D34)+SUMPRODUCT((G38:G40="●")*1,B38:B40,D38:D40)+SUMPRODUCT((G44:G52="●")*1,B44:B52,D44:D52)</f>
        <v/>
      </c>
      <c r="D69" s="98">
        <f>C69-B69</f>
        <v/>
      </c>
      <c r="E69" s="99">
        <f>IF(C69&gt;0,D69/C69,0)</f>
        <v/>
      </c>
      <c r="F69" s="87">
        <f>COUNTIF(G11:G15,"●")+COUNTIF(G18:G20,"●")+COUNTIF(G24:G26,"●")+COUNTIF(G30:G34,"●")+COUNTIF(G38:G40,"●")+COUNTIF(G44:G52,"●")</f>
        <v/>
      </c>
    </row>
    <row r="70">
      <c r="A70" s="83">
        <f>H2</f>
        <v/>
      </c>
      <c r="B70" s="98">
        <f>SUMPRODUCT((H11:H15="●")*1,B11:B15,C11:C15)+SUMPRODUCT((H18:H20="●")*1,B18:B20,C18:C20)+SUMPRODUCT((H24:H26="●")*1,B24:B26,C24:C26)+SUMPRODUCT((H30:H34="●")*1,B30:B34,C30:C34)+SUMPRODUCT((H38:H40="●")*1,B38:B40,C38:C40)+SUMPRODUCT((H44:H52="●")*1,B44:B52,C44:C52)</f>
        <v/>
      </c>
      <c r="C70" s="98">
        <f>SUMPRODUCT((H11:H15="●")*1,B11:B15,D11:D15)+SUMPRODUCT((H18:H20="●")*1,B18:B20,D18:D20)+SUMPRODUCT((H24:H26="●")*1,B24:B26,D24:D26)+SUMPRODUCT((H30:H34="●")*1,B30:B34,D30:D34)+SUMPRODUCT((H38:H40="●")*1,B38:B40,D38:D40)+SUMPRODUCT((H44:H52="●")*1,B44:B52,D44:D52)</f>
        <v/>
      </c>
      <c r="D70" s="98">
        <f>C70-B70</f>
        <v/>
      </c>
      <c r="E70" s="99">
        <f>IF(C70&gt;0,D70/C70,0)</f>
        <v/>
      </c>
      <c r="F70" s="87">
        <f>COUNTIF(H11:H15,"●")+COUNTIF(H18:H20,"●")+COUNTIF(H24:H26,"●")+COUNTIF(H30:H34,"●")+COUNTIF(H38:H40,"●")+COUNTIF(H44:H52,"●")</f>
        <v/>
      </c>
    </row>
    <row r="71">
      <c r="A71" s="83">
        <f>I2</f>
        <v/>
      </c>
      <c r="B71" s="98">
        <f>SUMPRODUCT((I11:I15="●")*1,B11:B15,C11:C15)+SUMPRODUCT((I18:I20="●")*1,B18:B20,C18:C20)+SUMPRODUCT((I24:I26="●")*1,B24:B26,C24:C26)+SUMPRODUCT((I30:I34="●")*1,B30:B34,C30:C34)+SUMPRODUCT((I38:I40="●")*1,B38:B40,C38:C40)+SUMPRODUCT((I44:I52="●")*1,B44:B52,C44:C52)</f>
        <v/>
      </c>
      <c r="C71" s="98">
        <f>SUMPRODUCT((I11:I15="●")*1,B11:B15,D11:D15)+SUMPRODUCT((I18:I20="●")*1,B18:B20,D18:D20)+SUMPRODUCT((I24:I26="●")*1,B24:B26,D24:D26)+SUMPRODUCT((I30:I34="●")*1,B30:B34,D30:D34)+SUMPRODUCT((I38:I40="●")*1,B38:B40,D38:D40)+SUMPRODUCT((I44:I52="●")*1,B44:B52,D44:D52)</f>
        <v/>
      </c>
      <c r="D71" s="98">
        <f>C71-B71</f>
        <v/>
      </c>
      <c r="E71" s="99">
        <f>IF(C71&gt;0,D71/C71,0)</f>
        <v/>
      </c>
      <c r="F71" s="87">
        <f>COUNTIF(I11:I15,"●")+COUNTIF(I18:I20,"●")+COUNTIF(I24:I26,"●")+COUNTIF(I30:I34,"●")+COUNTIF(I38:I40,"●")+COUNTIF(I44:I52,"●")</f>
        <v/>
      </c>
    </row>
    <row r="72">
      <c r="A72" s="102" t="inlineStr">
        <is>
          <t>📌 TOTAL</t>
        </is>
      </c>
      <c r="B72" s="103" t="n"/>
      <c r="C72" s="103" t="n"/>
      <c r="D72" s="103" t="n"/>
      <c r="E72" s="91" t="n"/>
      <c r="F72" s="91" t="n"/>
    </row>
    <row r="73">
      <c r="A73" s="89" t="n"/>
      <c r="B73" s="89" t="n"/>
      <c r="C73" s="89" t="n"/>
      <c r="D73" s="89" t="n"/>
      <c r="E73" s="89" t="n"/>
      <c r="F73" s="89" t="n"/>
      <c r="G73" s="89" t="n"/>
      <c r="H73" s="89" t="n"/>
      <c r="I73" s="89" t="n"/>
      <c r="J73" s="89" t="n"/>
      <c r="K73" s="89" t="n"/>
      <c r="L73" s="89" t="n"/>
      <c r="M73" s="89" t="n"/>
      <c r="N73" s="89" t="n"/>
      <c r="O73" s="89" t="n"/>
      <c r="P73" s="89" t="n"/>
      <c r="Q73" s="89" t="n"/>
    </row>
  </sheetData>
  <mergeCells count="14">
    <mergeCell ref="A57:L57"/>
    <mergeCell ref="A2:L2"/>
    <mergeCell ref="A18:K18"/>
    <mergeCell ref="A7:L7"/>
    <mergeCell ref="A30:K30"/>
    <mergeCell ref="A1:L1"/>
    <mergeCell ref="A24:K24"/>
    <mergeCell ref="A38:K38"/>
    <mergeCell ref="A66:L66"/>
    <mergeCell ref="A11:K11"/>
    <mergeCell ref="A3:L3"/>
    <mergeCell ref="B9:C9"/>
    <mergeCell ref="A44:K44"/>
    <mergeCell ref="A4:L4"/>
  </mergeCells>
  <conditionalFormatting sqref="F10:I14">
    <cfRule type="cellIs" priority="1" operator="equal" dxfId="7">
      <formula>"●"</formula>
    </cfRule>
  </conditionalFormatting>
  <conditionalFormatting sqref="F18:I20">
    <cfRule type="cellIs" priority="26" operator="equal" dxfId="7">
      <formula>"●"</formula>
    </cfRule>
  </conditionalFormatting>
  <conditionalFormatting sqref="F24:I26">
    <cfRule type="cellIs" priority="41" operator="equal" dxfId="7">
      <formula>"●"</formula>
    </cfRule>
  </conditionalFormatting>
  <conditionalFormatting sqref="F30:I34">
    <cfRule type="cellIs" priority="56" operator="equal" dxfId="7">
      <formula>"●"</formula>
    </cfRule>
  </conditionalFormatting>
  <conditionalFormatting sqref="F38:I40">
    <cfRule type="cellIs" priority="81" operator="equal" dxfId="7">
      <formula>"●"</formula>
    </cfRule>
  </conditionalFormatting>
  <conditionalFormatting sqref="F44:I52">
    <cfRule type="cellIs" priority="96" operator="equal" dxfId="7">
      <formula>"●"</formula>
    </cfRule>
  </conditionalFormatting>
  <conditionalFormatting sqref="I7">
    <cfRule type="cellIs" priority="141" operator="equal" dxfId="0">
      <formula>"❌"</formula>
    </cfRule>
  </conditionalFormatting>
  <conditionalFormatting sqref="P10:P14">
    <cfRule type="cellIs" priority="5" operator="greaterThan" dxfId="0">
      <formula>0</formula>
    </cfRule>
  </conditionalFormatting>
  <conditionalFormatting sqref="P18:P20">
    <cfRule type="cellIs" priority="30" operator="greaterThan" dxfId="0">
      <formula>0</formula>
    </cfRule>
  </conditionalFormatting>
  <conditionalFormatting sqref="P24:P26">
    <cfRule type="cellIs" priority="45" operator="greaterThan" dxfId="0">
      <formula>0</formula>
    </cfRule>
  </conditionalFormatting>
  <conditionalFormatting sqref="P30:P34">
    <cfRule type="cellIs" priority="60" operator="greaterThan" dxfId="0">
      <formula>0</formula>
    </cfRule>
  </conditionalFormatting>
  <conditionalFormatting sqref="P38:P40">
    <cfRule type="cellIs" priority="85" operator="greaterThan" dxfId="0">
      <formula>0</formula>
    </cfRule>
  </conditionalFormatting>
  <conditionalFormatting sqref="P44:P52">
    <cfRule type="cellIs" priority="100" operator="greaterThan" dxfId="0">
      <formula>0</formula>
    </cfRule>
  </conditionalFormatting>
  <conditionalFormatting sqref="F12:F15">
    <cfRule type="cellIs" priority="14" operator="equal" dxfId="13">
      <formula>"●"</formula>
    </cfRule>
  </conditionalFormatting>
  <conditionalFormatting sqref="G12:G15">
    <cfRule type="cellIs" priority="15" operator="equal" dxfId="13">
      <formula>"●"</formula>
    </cfRule>
  </conditionalFormatting>
  <conditionalFormatting sqref="H12:H15">
    <cfRule type="cellIs" priority="16" operator="equal" dxfId="13">
      <formula>"●"</formula>
    </cfRule>
  </conditionalFormatting>
  <conditionalFormatting sqref="I12:I15">
    <cfRule type="cellIs" priority="17" operator="equal" dxfId="13">
      <formula>"●"</formula>
    </cfRule>
  </conditionalFormatting>
  <conditionalFormatting sqref="L12:L15">
    <cfRule type="cellIs" priority="18" operator="equal" dxfId="13">
      <formula>"●"</formula>
    </cfRule>
  </conditionalFormatting>
  <conditionalFormatting sqref="M12:M15">
    <cfRule type="cellIs" priority="19" operator="equal" dxfId="13">
      <formula>"●"</formula>
    </cfRule>
  </conditionalFormatting>
  <conditionalFormatting sqref="N12:N15">
    <cfRule type="cellIs" priority="20" operator="equal" dxfId="13">
      <formula>"●"</formula>
    </cfRule>
  </conditionalFormatting>
  <conditionalFormatting sqref="O12:O15">
    <cfRule type="cellIs" priority="21" operator="equal" dxfId="13">
      <formula>"●"</formula>
    </cfRule>
  </conditionalFormatting>
  <conditionalFormatting sqref="F19:F20">
    <cfRule type="cellIs" priority="22" operator="equal" dxfId="13">
      <formula>"●"</formula>
    </cfRule>
  </conditionalFormatting>
  <conditionalFormatting sqref="G19:G20">
    <cfRule type="cellIs" priority="23" operator="equal" dxfId="13">
      <formula>"●"</formula>
    </cfRule>
  </conditionalFormatting>
  <conditionalFormatting sqref="H19:H20">
    <cfRule type="cellIs" priority="24" operator="equal" dxfId="13">
      <formula>"●"</formula>
    </cfRule>
  </conditionalFormatting>
  <conditionalFormatting sqref="I19:I20">
    <cfRule type="cellIs" priority="25" operator="equal" dxfId="13">
      <formula>"●"</formula>
    </cfRule>
  </conditionalFormatting>
  <conditionalFormatting sqref="L19:L20">
    <cfRule type="cellIs" priority="26" operator="equal" dxfId="13">
      <formula>"●"</formula>
    </cfRule>
  </conditionalFormatting>
  <conditionalFormatting sqref="M19:M20">
    <cfRule type="cellIs" priority="27" operator="equal" dxfId="13">
      <formula>"●"</formula>
    </cfRule>
  </conditionalFormatting>
  <conditionalFormatting sqref="N19:N20">
    <cfRule type="cellIs" priority="28" operator="equal" dxfId="13">
      <formula>"●"</formula>
    </cfRule>
  </conditionalFormatting>
  <conditionalFormatting sqref="O19:O20">
    <cfRule type="cellIs" priority="29" operator="equal" dxfId="13">
      <formula>"●"</formula>
    </cfRule>
  </conditionalFormatting>
  <conditionalFormatting sqref="F25:F26">
    <cfRule type="cellIs" priority="30" operator="equal" dxfId="13">
      <formula>"●"</formula>
    </cfRule>
  </conditionalFormatting>
  <conditionalFormatting sqref="G25:G26">
    <cfRule type="cellIs" priority="31" operator="equal" dxfId="13">
      <formula>"●"</formula>
    </cfRule>
  </conditionalFormatting>
  <conditionalFormatting sqref="H25:H26">
    <cfRule type="cellIs" priority="32" operator="equal" dxfId="13">
      <formula>"●"</formula>
    </cfRule>
  </conditionalFormatting>
  <conditionalFormatting sqref="I25:I26">
    <cfRule type="cellIs" priority="33" operator="equal" dxfId="13">
      <formula>"●"</formula>
    </cfRule>
  </conditionalFormatting>
  <conditionalFormatting sqref="L25:L26">
    <cfRule type="cellIs" priority="34" operator="equal" dxfId="13">
      <formula>"●"</formula>
    </cfRule>
  </conditionalFormatting>
  <conditionalFormatting sqref="M25:M26">
    <cfRule type="cellIs" priority="35" operator="equal" dxfId="13">
      <formula>"●"</formula>
    </cfRule>
  </conditionalFormatting>
  <conditionalFormatting sqref="N25:N26">
    <cfRule type="cellIs" priority="36" operator="equal" dxfId="13">
      <formula>"●"</formula>
    </cfRule>
  </conditionalFormatting>
  <conditionalFormatting sqref="O25:O26">
    <cfRule type="cellIs" priority="37" operator="equal" dxfId="13">
      <formula>"●"</formula>
    </cfRule>
  </conditionalFormatting>
  <conditionalFormatting sqref="F31:F34">
    <cfRule type="cellIs" priority="38" operator="equal" dxfId="13">
      <formula>"●"</formula>
    </cfRule>
  </conditionalFormatting>
  <conditionalFormatting sqref="G31:G34">
    <cfRule type="cellIs" priority="39" operator="equal" dxfId="13">
      <formula>"●"</formula>
    </cfRule>
  </conditionalFormatting>
  <conditionalFormatting sqref="H31:H34">
    <cfRule type="cellIs" priority="40" operator="equal" dxfId="13">
      <formula>"●"</formula>
    </cfRule>
  </conditionalFormatting>
  <conditionalFormatting sqref="I31:I34">
    <cfRule type="cellIs" priority="41" operator="equal" dxfId="13">
      <formula>"●"</formula>
    </cfRule>
  </conditionalFormatting>
  <conditionalFormatting sqref="L31:L34">
    <cfRule type="cellIs" priority="42" operator="equal" dxfId="13">
      <formula>"●"</formula>
    </cfRule>
  </conditionalFormatting>
  <conditionalFormatting sqref="M31:M34">
    <cfRule type="cellIs" priority="43" operator="equal" dxfId="13">
      <formula>"●"</formula>
    </cfRule>
  </conditionalFormatting>
  <conditionalFormatting sqref="N31:N34">
    <cfRule type="cellIs" priority="44" operator="equal" dxfId="13">
      <formula>"●"</formula>
    </cfRule>
  </conditionalFormatting>
  <conditionalFormatting sqref="O31:O34">
    <cfRule type="cellIs" priority="45" operator="equal" dxfId="13">
      <formula>"●"</formula>
    </cfRule>
  </conditionalFormatting>
  <conditionalFormatting sqref="F39:F40">
    <cfRule type="cellIs" priority="46" operator="equal" dxfId="13">
      <formula>"●"</formula>
    </cfRule>
  </conditionalFormatting>
  <conditionalFormatting sqref="G39:G40">
    <cfRule type="cellIs" priority="47" operator="equal" dxfId="13">
      <formula>"●"</formula>
    </cfRule>
  </conditionalFormatting>
  <conditionalFormatting sqref="H39:H40">
    <cfRule type="cellIs" priority="48" operator="equal" dxfId="13">
      <formula>"●"</formula>
    </cfRule>
  </conditionalFormatting>
  <conditionalFormatting sqref="I39:I40">
    <cfRule type="cellIs" priority="49" operator="equal" dxfId="13">
      <formula>"●"</formula>
    </cfRule>
  </conditionalFormatting>
  <conditionalFormatting sqref="L39:L40">
    <cfRule type="cellIs" priority="50" operator="equal" dxfId="13">
      <formula>"●"</formula>
    </cfRule>
  </conditionalFormatting>
  <conditionalFormatting sqref="M39:M40">
    <cfRule type="cellIs" priority="51" operator="equal" dxfId="13">
      <formula>"●"</formula>
    </cfRule>
  </conditionalFormatting>
  <conditionalFormatting sqref="N39:N40">
    <cfRule type="cellIs" priority="52" operator="equal" dxfId="13">
      <formula>"●"</formula>
    </cfRule>
  </conditionalFormatting>
  <conditionalFormatting sqref="O39:O40">
    <cfRule type="cellIs" priority="53" operator="equal" dxfId="13">
      <formula>"●"</formula>
    </cfRule>
  </conditionalFormatting>
  <conditionalFormatting sqref="F45:F52">
    <cfRule type="cellIs" priority="54" operator="equal" dxfId="13">
      <formula>"●"</formula>
    </cfRule>
  </conditionalFormatting>
  <conditionalFormatting sqref="G45:G52">
    <cfRule type="cellIs" priority="55" operator="equal" dxfId="13">
      <formula>"●"</formula>
    </cfRule>
  </conditionalFormatting>
  <conditionalFormatting sqref="H45:H52">
    <cfRule type="cellIs" priority="56" operator="equal" dxfId="13">
      <formula>"●"</formula>
    </cfRule>
  </conditionalFormatting>
  <conditionalFormatting sqref="I45:I52">
    <cfRule type="cellIs" priority="57" operator="equal" dxfId="13">
      <formula>"●"</formula>
    </cfRule>
  </conditionalFormatting>
  <conditionalFormatting sqref="L45:L52">
    <cfRule type="cellIs" priority="58" operator="equal" dxfId="13">
      <formula>"●"</formula>
    </cfRule>
  </conditionalFormatting>
  <conditionalFormatting sqref="M45:M52">
    <cfRule type="cellIs" priority="59" operator="equal" dxfId="13">
      <formula>"●"</formula>
    </cfRule>
  </conditionalFormatting>
  <conditionalFormatting sqref="N45:N52">
    <cfRule type="cellIs" priority="60" operator="equal" dxfId="13">
      <formula>"●"</formula>
    </cfRule>
  </conditionalFormatting>
  <conditionalFormatting sqref="O45:O52">
    <cfRule type="cellIs" priority="61" operator="equal" dxfId="13">
      <formula>"●"</formula>
    </cfRule>
  </conditionalFormatting>
  <conditionalFormatting sqref="P12:P15">
    <cfRule type="cellIs" priority="62" operator="greaterThan" dxfId="14">
      <formula>0</formula>
    </cfRule>
  </conditionalFormatting>
  <conditionalFormatting sqref="P19:P20">
    <cfRule type="cellIs" priority="63" operator="greaterThan" dxfId="14">
      <formula>0</formula>
    </cfRule>
  </conditionalFormatting>
  <conditionalFormatting sqref="P25:P26">
    <cfRule type="cellIs" priority="64" operator="greaterThan" dxfId="14">
      <formula>0</formula>
    </cfRule>
  </conditionalFormatting>
  <conditionalFormatting sqref="P31:P34">
    <cfRule type="cellIs" priority="65" operator="greaterThan" dxfId="14">
      <formula>0</formula>
    </cfRule>
  </conditionalFormatting>
  <conditionalFormatting sqref="P39:P40">
    <cfRule type="cellIs" priority="66" operator="greaterThan" dxfId="14">
      <formula>0</formula>
    </cfRule>
  </conditionalFormatting>
  <conditionalFormatting sqref="P45:P52">
    <cfRule type="cellIs" priority="67" operator="greaterThan" dxfId="14">
      <formula>0</formula>
    </cfRule>
  </conditionalFormatting>
  <dataValidations count="12">
    <dataValidation sqref="E2" showDropDown="0" showInputMessage="0" showErrorMessage="0" allowBlank="1" type="list">
      <formula1>"2,4,6,8"</formula1>
    </dataValidation>
    <dataValidation sqref="L5 L8" showDropDown="0" showInputMessage="0" showErrorMessage="0" allowBlank="1" type="list">
      <formula1>"First,Prestige,Business,Premium Economy,Economy"</formula1>
    </dataValidation>
    <dataValidation sqref="D5" showDropDown="0" showInputMessage="0" showErrorMessage="0" allowBlank="1" type="list">
      <formula1>'Master Data'!$A$77:$A$80</formula1>
    </dataValidation>
    <dataValidation sqref="D8" showDropDown="0" showInputMessage="0" showErrorMessage="0" allowBlank="1" type="list">
      <formula1>'Master Data'!$A$91:$A$94</formula1>
    </dataValidation>
    <dataValidation sqref="L11 L18 L24 L30 L38 L44" showDropDown="0" showInputMessage="0" showErrorMessage="0" allowBlank="1" type="list">
      <formula1>"PG,P1,P2,P3,P4,P5,P6,P7,P8,P9,P10,P11,P12,P13,P14,P15,P16,P17,P18,P19,P20"</formula1>
    </dataValidation>
    <dataValidation sqref="A12 A13 A14 A15" showDropDown="0" showInputMessage="0" showErrorMessage="0" allowBlank="1" type="list">
      <formula1>'Master Data'!$A$8:$C$15</formula1>
    </dataValidation>
    <dataValidation sqref="A19 A20" showDropDown="0" showInputMessage="0" showErrorMessage="0" allowBlank="1" type="list">
      <formula1>'Master Data'!$A$21:$C$26</formula1>
    </dataValidation>
    <dataValidation sqref="A25 A26" showDropDown="0" showInputMessage="0" showErrorMessage="0" allowBlank="1" type="list">
      <formula1>'Master Data'!$A$31:$C$37</formula1>
    </dataValidation>
    <dataValidation sqref="A31 A32 A33 A34" showDropDown="0" showInputMessage="0" showErrorMessage="0" allowBlank="1" type="list">
      <formula1>'Master Data'!$A$42:$C$50</formula1>
    </dataValidation>
    <dataValidation sqref="A39 A40" showDropDown="0" showInputMessage="0" showErrorMessage="0" allowBlank="1" type="list">
      <formula1>'Master Data'!$A$55:$C$61</formula1>
    </dataValidation>
    <dataValidation sqref="A45 A46 A47 A48 A49 A50 A51 A52" showDropDown="0" showInputMessage="0" showErrorMessage="0" allowBlank="1" type="list">
      <formula1>'Master Data'!$A$65:$C$73</formula1>
    </dataValidation>
    <dataValidation sqref="F12 F13 F14 F15 F19 F20 F25 F26 F31 F32 F33 F34 F39 F40 F45 F46 F47 F48 F49 F50 F51 F52 G12 G13 G14 G15 G19 G20 G25 G26 G31 G32 G33 G34 G39 G40 G45 G46 G47 G48 G49 G50 G51 G52 H12 H13 H14 H15 H19 H20 H25 H26 H31 H32 H33 H34 H39 H40 H45 H46 H47 H48 H49 H50 H51 H52 I12 I13 I14 I15 I19 I20 I25 I26 I31 I32 I33 I34 I39 I40 I45 I46 I47 I48 I49 I50 I51 I52 L12 L13 L14 L15 L19 L20 L25 L26 L31 L32 L33 L34 L39 L40 L45 L46 L47 L48 L49 L50 L51 L52 M12 M13 M14 M15 M19 M20 M25 M26 M31 M32 M33 M34 M39 M40 M45 M46 M47 M48 M49 M50 M51 M52 N12 N13 N14 N15 N19 N20 N25 N26 N31 N32 N33 N34 N39 N40 N45 N46 N47 N48 N49 N50 N51 N52 O12 O13 O14 O15 O19 O20 O25 O26 O31 O32 O33 O34 O39 O40 O45 O46 O47 O48 O49 O50 O51 O52" showDropDown="0" showInputMessage="0" showErrorMessage="0" allowBlank="1" errorTitle="Toggle" error="● = ON, blank = OFF"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B5" sqref="B5"/>
    </sheetView>
  </sheetViews>
  <sheetFormatPr baseColWidth="8" defaultRowHeight="14.4"/>
  <cols>
    <col width="22" customWidth="1" style="44" min="1" max="1"/>
    <col width="13" customWidth="1" style="44" min="2" max="3"/>
    <col width="15.21875" customWidth="1" style="44" min="4" max="4"/>
    <col width="13" customWidth="1" style="44" min="5" max="6"/>
  </cols>
  <sheetData>
    <row r="1">
      <c r="A1" s="82" t="inlineStr">
        <is>
          <t>📊 PACKAGE SUMMARY — Current Selection</t>
        </is>
      </c>
      <c r="B1" s="48" t="n"/>
      <c r="C1" s="48" t="n"/>
      <c r="D1" s="48" t="n"/>
      <c r="E1" s="48" t="n"/>
      <c r="F1" s="46" t="n"/>
    </row>
    <row r="2">
      <c r="E2" s="89">
        <f>'Package Selector'!E2</f>
        <v/>
      </c>
    </row>
    <row r="3"/>
    <row r="4">
      <c r="A4" s="94" t="inlineStr">
        <is>
          <t>Category</t>
        </is>
      </c>
      <c r="B4" s="94" t="inlineStr">
        <is>
          <t>Total Cost</t>
        </is>
      </c>
      <c r="C4" s="94" t="inlineStr">
        <is>
          <t>Total Sell</t>
        </is>
      </c>
      <c r="D4" s="94" t="inlineStr">
        <is>
          <t>Margin</t>
        </is>
      </c>
      <c r="E4" s="94" t="inlineStr">
        <is>
          <t>Margin%</t>
        </is>
      </c>
      <c r="F4" s="94" t="inlineStr">
        <is>
          <t>Per Person</t>
        </is>
      </c>
    </row>
    <row r="5">
      <c r="A5" s="101" t="inlineStr">
        <is>
          <t>GOLF</t>
        </is>
      </c>
      <c r="B5" s="109" t="n"/>
      <c r="C5" s="109" t="n"/>
      <c r="D5" s="100" t="n"/>
      <c r="E5" s="111" t="n"/>
      <c r="F5" s="100" t="n"/>
    </row>
    <row r="6">
      <c r="A6" s="101" t="inlineStr">
        <is>
          <t>HOTEL</t>
        </is>
      </c>
      <c r="B6" s="109" t="n"/>
      <c r="C6" s="109" t="n"/>
      <c r="D6" s="100" t="n"/>
      <c r="E6" s="111" t="n"/>
      <c r="F6" s="100" t="n"/>
    </row>
    <row r="7">
      <c r="A7" s="101" t="inlineStr">
        <is>
          <t>TRANSPORT</t>
        </is>
      </c>
      <c r="B7" s="109" t="n"/>
      <c r="C7" s="109" t="n"/>
      <c r="D7" s="100" t="n"/>
      <c r="E7" s="111" t="n"/>
      <c r="F7" s="100" t="n"/>
    </row>
    <row r="8">
      <c r="A8" s="101" t="inlineStr">
        <is>
          <t>MEALS</t>
        </is>
      </c>
      <c r="B8" s="109" t="n"/>
      <c r="C8" s="109" t="n"/>
      <c r="D8" s="100" t="n"/>
      <c r="E8" s="111" t="n"/>
      <c r="F8" s="100" t="n"/>
    </row>
    <row r="9">
      <c r="A9" s="101" t="inlineStr">
        <is>
          <t>OTHER</t>
        </is>
      </c>
      <c r="B9" s="109" t="n"/>
      <c r="C9" s="109" t="n"/>
      <c r="D9" s="100" t="n"/>
      <c r="E9" s="111" t="n"/>
      <c r="F9" s="100" t="n"/>
    </row>
    <row r="10">
      <c r="A10" s="101" t="inlineStr">
        <is>
          <t>ACTIVITIES</t>
        </is>
      </c>
      <c r="B10" s="109" t="n"/>
      <c r="C10" s="109" t="n"/>
      <c r="D10" s="100" t="n"/>
      <c r="E10" s="111" t="n"/>
      <c r="F10" s="100" t="n"/>
    </row>
    <row r="11">
      <c r="A11" s="102" t="inlineStr">
        <is>
          <t>📌 TOTAL</t>
        </is>
      </c>
      <c r="B11" s="104">
        <f>SUM(B5:B10)</f>
        <v/>
      </c>
      <c r="C11" s="104">
        <f>SUM(C5:C10)</f>
        <v/>
      </c>
      <c r="D11" s="104">
        <f>SUM(D5:D10)</f>
        <v/>
      </c>
      <c r="E11" s="105">
        <f>IF(C11&gt;0,D11/C11,0)</f>
        <v/>
      </c>
      <c r="F11" s="104">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8" defaultRowHeight="14.4"/>
  <cols>
    <col width="30" customWidth="1" style="44" min="1" max="1"/>
    <col width="18" customWidth="1" style="44" min="2" max="4"/>
  </cols>
  <sheetData>
    <row r="1">
      <c r="A1" s="41" t="inlineStr">
        <is>
          <t>🎫 GUEST PACKAGE — Client Summary</t>
        </is>
      </c>
      <c r="B1" s="42" t="n"/>
      <c r="C1" s="42" t="n"/>
      <c r="D1" s="43" t="n"/>
    </row>
    <row r="3">
      <c r="A3" s="49" t="inlineStr">
        <is>
          <t>Package:</t>
        </is>
      </c>
      <c r="B3" s="52">
        <f>'Package Selector'!B2</f>
        <v/>
      </c>
      <c r="C3" s="48" t="n"/>
      <c r="D3" s="46" t="n"/>
    </row>
    <row r="4">
      <c r="A4" s="49" t="inlineStr">
        <is>
          <t>Guests:</t>
        </is>
      </c>
      <c r="B4" s="38">
        <f>'Package Selector'!E2</f>
        <v/>
      </c>
      <c r="C4" s="51" t="inlineStr">
        <is>
          <t>persons</t>
        </is>
      </c>
    </row>
    <row r="5">
      <c r="A5" s="49" t="inlineStr">
        <is>
          <t>Duration:</t>
        </is>
      </c>
      <c r="B5" s="52">
        <f>'Package Selector'!J6</f>
        <v/>
      </c>
      <c r="C5" s="48" t="n"/>
      <c r="D5" s="46" t="n"/>
    </row>
    <row r="7">
      <c r="A7" s="54" t="inlineStr">
        <is>
          <t>📋 PACKAGE INCLUDES</t>
        </is>
      </c>
      <c r="B7" s="42" t="n"/>
      <c r="C7" s="42" t="n"/>
      <c r="D7" s="43" t="n"/>
    </row>
    <row r="8">
      <c r="A8" s="33" t="inlineStr">
        <is>
          <t>⛳ Golf</t>
        </is>
      </c>
      <c r="B8" s="51" t="inlineStr">
        <is>
          <t>(see Package Selector for details)</t>
        </is>
      </c>
      <c r="C8" s="48" t="n"/>
      <c r="D8" s="46" t="n"/>
    </row>
    <row r="9">
      <c r="A9" s="33" t="inlineStr">
        <is>
          <t>🏨 Hotel</t>
        </is>
      </c>
      <c r="B9" s="51" t="inlineStr">
        <is>
          <t>(see Package Selector for details)</t>
        </is>
      </c>
      <c r="C9" s="48" t="n"/>
      <c r="D9" s="46" t="n"/>
    </row>
    <row r="10">
      <c r="A10" s="33" t="inlineStr">
        <is>
          <t>🚐 Transport</t>
        </is>
      </c>
      <c r="B10" s="51" t="inlineStr">
        <is>
          <t>(see Package Selector for details)</t>
        </is>
      </c>
      <c r="C10" s="48" t="n"/>
      <c r="D10" s="46" t="n"/>
    </row>
    <row r="11">
      <c r="A11" s="33" t="inlineStr">
        <is>
          <t>🍽️ Meals</t>
        </is>
      </c>
      <c r="B11" s="51" t="inlineStr">
        <is>
          <t>(see Package Selector for details)</t>
        </is>
      </c>
      <c r="C11" s="48" t="n"/>
      <c r="D11" s="46" t="n"/>
    </row>
    <row r="12">
      <c r="A12" s="33" t="inlineStr">
        <is>
          <t>📦 Other</t>
        </is>
      </c>
      <c r="B12" s="51" t="inlineStr">
        <is>
          <t>(see Package Selector for details)</t>
        </is>
      </c>
      <c r="C12" s="48" t="n"/>
      <c r="D12" s="46" t="n"/>
    </row>
    <row r="13">
      <c r="A13" s="33" t="inlineStr">
        <is>
          <t>🎯 Activities</t>
        </is>
      </c>
      <c r="B13" s="51" t="inlineStr">
        <is>
          <t>(see Package Selector for details)</t>
        </is>
      </c>
      <c r="C13" s="48" t="n"/>
      <c r="D13" s="46" t="n"/>
    </row>
    <row r="15">
      <c r="A15" s="55" t="n"/>
      <c r="B15" s="42" t="n"/>
      <c r="C15" s="42" t="n"/>
      <c r="D15" s="43" t="n"/>
    </row>
    <row r="16">
      <c r="A16" s="54" t="inlineStr">
        <is>
          <t>💰 ALL-INCLUSIVE PRICE</t>
        </is>
      </c>
      <c r="B16" s="42" t="n"/>
      <c r="C16" s="42" t="n"/>
      <c r="D16" s="43" t="n"/>
    </row>
    <row r="17">
      <c r="A17" s="49" t="inlineStr">
        <is>
          <t>Total Package Price:</t>
        </is>
      </c>
      <c r="B17" s="53">
        <f>'Package Selector'!K63</f>
        <v/>
      </c>
      <c r="C17" s="48" t="n"/>
      <c r="D17" s="46" t="n"/>
    </row>
    <row r="18" ht="21" customHeight="1" s="44">
      <c r="A18" s="49" t="inlineStr">
        <is>
          <t>Per Person:</t>
        </is>
      </c>
      <c r="B18" s="39">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2026-05-31T19:59:34Z</dcterms:modified>
  <cp:lastModifiedBy>Hee Lee</cp:lastModifiedBy>
</cp:coreProperties>
</file>