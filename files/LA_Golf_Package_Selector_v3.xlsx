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Types" sheetId="2" state="visible" r:id="rId2"/>
    <sheet xmlns:r="http://schemas.openxmlformats.org/officeDocument/2006/relationships" name="Package Selector" sheetId="3" state="visible" r:id="rId3"/>
    <sheet xmlns:r="http://schemas.openxmlformats.org/officeDocument/2006/relationships" name="Profit Summary" sheetId="4" state="visible" r:id="rId4"/>
    <sheet xmlns:r="http://schemas.openxmlformats.org/officeDocument/2006/relationships" name="Package Selector 2" sheetId="5" state="visible" r:id="rId5"/>
    <sheet xmlns:r="http://schemas.openxmlformats.org/officeDocument/2006/relationships" name="Profit Summary 2" sheetId="6" state="visible" r:id="rId6"/>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0">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2">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cellXfs>
  <cellStyles count="1">
    <cellStyle name="Normal" xfId="0" builtinId="0"/>
  </cellStyles>
  <dxfs count="3">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2" t="inlineStr">
        <is>
          <t>Margin ($)</t>
        </is>
      </c>
      <c r="E6" s="2" t="inlineStr">
        <is>
          <t>Replay Rate ($)</t>
        </is>
      </c>
      <c r="F6" s="2" t="inlineStr">
        <is>
          <t>Notes</t>
        </is>
      </c>
      <c r="G6" s="2" t="n"/>
    </row>
    <row r="7">
      <c r="A7" s="70" t="inlineStr">
        <is>
          <t>Trump National LA</t>
        </is>
      </c>
      <c r="B7" s="71" t="n">
        <v>210</v>
      </c>
      <c r="C7" s="71" t="n">
        <v>210</v>
      </c>
      <c r="D7" s="5">
        <f>IF(A7="","",C7-B7)</f>
        <v/>
      </c>
      <c r="E7" s="4" t="n">
        <v>111</v>
      </c>
      <c r="F7" s="6" t="inlineStr">
        <is>
          <t>Member guest | Cart incl. | Replay ~50%</t>
        </is>
      </c>
    </row>
    <row r="8">
      <c r="A8" s="70" t="inlineStr">
        <is>
          <t>Sandpiper GC</t>
        </is>
      </c>
      <c r="B8" s="71" t="n">
        <v>130</v>
      </c>
      <c r="C8" s="71" t="n">
        <v>130</v>
      </c>
      <c r="D8" s="5">
        <f>IF(A8="","",C8-B8)</f>
        <v/>
      </c>
      <c r="E8" s="4" t="n">
        <v>120</v>
      </c>
      <c r="F8" s="6" t="inlineStr">
        <is>
          <t>UnderPar deal | Replay FREE | Non-Resident</t>
        </is>
      </c>
    </row>
    <row r="9" ht="30.75" customHeight="1" s="42">
      <c r="A9" s="70" t="inlineStr">
        <is>
          <t>Hidden Valley GC</t>
        </is>
      </c>
      <c r="B9" s="71" t="n">
        <v>109</v>
      </c>
      <c r="C9" s="71" t="n">
        <v>109</v>
      </c>
      <c r="D9" s="5">
        <f>IF(A9="","",C9-B9)</f>
        <v/>
      </c>
      <c r="E9" s="4" t="n">
        <v>45</v>
      </c>
      <c r="F9" s="6" t="inlineStr">
        <is>
          <t>teeitup.com | 9Stamps=1free | Replay twilight</t>
        </is>
      </c>
    </row>
    <row r="10">
      <c r="A10" s="40" t="n"/>
      <c r="B10" s="4" t="n"/>
      <c r="C10" s="4" t="n"/>
      <c r="D10" s="5">
        <f>IF(A10="","",C10-B10)</f>
        <v/>
      </c>
      <c r="E10" s="4" t="n"/>
      <c r="F10" s="6" t="n"/>
    </row>
    <row r="11">
      <c r="A11" s="40" t="n"/>
      <c r="B11" s="4" t="n"/>
      <c r="C11" s="4" t="n"/>
      <c r="D11" s="5">
        <f>IF(A11="","",C11-B11)</f>
        <v/>
      </c>
      <c r="E11" s="4" t="n"/>
      <c r="F11" s="6" t="n"/>
    </row>
    <row r="12">
      <c r="A12" s="40" t="n"/>
      <c r="B12" s="4" t="n"/>
      <c r="C12" s="4" t="n"/>
      <c r="D12" s="5">
        <f>IF(A12="","",C12-B12)</f>
        <v/>
      </c>
      <c r="E12" s="4" t="n"/>
      <c r="F12" s="6" t="n"/>
    </row>
    <row r="13">
      <c r="A13" s="40" t="n"/>
      <c r="B13" s="4" t="n"/>
      <c r="C13" s="4" t="n"/>
      <c r="D13" s="5">
        <f>IF(A13="","",C13-B13)</f>
        <v/>
      </c>
      <c r="E13" s="4" t="n"/>
      <c r="F13" s="6" t="n"/>
    </row>
    <row r="14">
      <c r="A14" s="40" t="n"/>
      <c r="B14" s="4" t="n"/>
      <c r="C14" s="4" t="n"/>
      <c r="D14" s="5">
        <f>IF(A14="","",C14-B14)</f>
        <v/>
      </c>
      <c r="E14" s="4" t="n"/>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2" t="inlineStr">
        <is>
          <t>Margin</t>
        </is>
      </c>
      <c r="E18" s="2" t="n"/>
      <c r="F18" s="2" t="inlineStr">
        <is>
          <t>Notes</t>
        </is>
      </c>
      <c r="G18" s="2" t="n"/>
    </row>
    <row r="19" ht="16.5" customHeight="1" s="42">
      <c r="A19" s="70" t="inlineStr">
        <is>
          <t>Beverly Wilshire (5★) / Same Tier</t>
        </is>
      </c>
      <c r="B19" s="71" t="n">
        <v>275</v>
      </c>
      <c r="C19" s="71" t="n">
        <v>375</v>
      </c>
      <c r="D19" s="5">
        <f>IF(A19="","",C19-B19)</f>
        <v/>
      </c>
      <c r="F19" s="6" t="inlineStr">
        <is>
          <t>$550/room ÷ 2 persons</t>
        </is>
      </c>
    </row>
    <row r="20">
      <c r="A20" s="40" t="n"/>
      <c r="B20" s="4" t="n"/>
      <c r="C20" s="4" t="n"/>
      <c r="D20" s="5">
        <f>IF(A20="","",C20-B20)</f>
        <v/>
      </c>
      <c r="F20" s="6" t="n"/>
    </row>
    <row r="21">
      <c r="A21" s="40" t="n"/>
      <c r="B21" s="4" t="n"/>
      <c r="C21" s="4" t="n"/>
      <c r="D21" s="5">
        <f>IF(A21="","",C21-B21)</f>
        <v/>
      </c>
      <c r="F21" s="6" t="n"/>
    </row>
    <row r="22">
      <c r="A22" s="40" t="n"/>
      <c r="B22" s="4" t="n"/>
      <c r="C22" s="4" t="n"/>
      <c r="D22" s="5">
        <f>IF(A22="","",C22-B22)</f>
        <v/>
      </c>
      <c r="F22" s="6" t="n"/>
    </row>
    <row r="23">
      <c r="A23" s="40" t="n"/>
      <c r="B23" s="4" t="n"/>
      <c r="C23" s="4" t="n"/>
      <c r="D23" s="5">
        <f>IF(A23="","",C23-B23)</f>
        <v/>
      </c>
      <c r="F23" s="6" t="n"/>
    </row>
    <row r="24">
      <c r="A24" s="40" t="n"/>
      <c r="B24" s="4" t="n"/>
      <c r="C24" s="4" t="n"/>
      <c r="D24" s="5">
        <f>IF(A24="","",C24-B24)</f>
        <v/>
      </c>
      <c r="F24" s="6" t="n"/>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2" t="inlineStr">
        <is>
          <t>Margin</t>
        </is>
      </c>
      <c r="E27" s="2" t="n"/>
      <c r="F27" s="2" t="inlineStr">
        <is>
          <t>Notes</t>
        </is>
      </c>
      <c r="G27" s="2" t="n"/>
    </row>
    <row r="28" ht="16.5" customHeight="1" s="42">
      <c r="A28" s="70" t="inlineStr">
        <is>
          <t>Driver/Guide + Van (일당)</t>
        </is>
      </c>
      <c r="B28" s="71" t="n">
        <v>125</v>
      </c>
      <c r="C28" s="71" t="n">
        <v>175</v>
      </c>
      <c r="D28" s="5">
        <f>IF(A28="","",C28-B28)</f>
        <v/>
      </c>
      <c r="F28" s="6" t="inlineStr">
        <is>
          <t>$500/day ÷ 4p | Driver=Guide</t>
        </is>
      </c>
    </row>
    <row r="29">
      <c r="A29" s="70" t="inlineStr">
        <is>
          <t>Airport Roundtrip Pickup</t>
        </is>
      </c>
      <c r="B29" s="71" t="n">
        <v>75</v>
      </c>
      <c r="C29" s="71" t="n">
        <v>120</v>
      </c>
      <c r="D29" s="5">
        <f>IF(A29="","",C29-B29)</f>
        <v/>
      </c>
      <c r="F29" s="6" t="inlineStr">
        <is>
          <t>LAX ↔ Hotel, per person</t>
        </is>
      </c>
    </row>
    <row r="30">
      <c r="A30" s="40" t="n"/>
      <c r="B30" s="4" t="n"/>
      <c r="C30" s="4" t="n"/>
      <c r="D30" s="5">
        <f>IF(A30="","",C30-B30)</f>
        <v/>
      </c>
      <c r="F30" s="6" t="n"/>
    </row>
    <row r="31">
      <c r="A31" s="40" t="n"/>
      <c r="B31" s="4" t="n"/>
      <c r="C31" s="4" t="n"/>
      <c r="D31" s="5">
        <f>IF(A31="","",C31-B31)</f>
        <v/>
      </c>
      <c r="F31" s="6" t="n"/>
    </row>
    <row r="32">
      <c r="A32" s="40" t="n"/>
      <c r="B32" s="4" t="n"/>
      <c r="C32" s="4" t="n"/>
      <c r="D32" s="5">
        <f>IF(A32="","",C32-B32)</f>
        <v/>
      </c>
      <c r="F32" s="6" t="n"/>
    </row>
    <row r="33">
      <c r="A33" s="40" t="n"/>
      <c r="B33" s="4" t="n"/>
      <c r="C33" s="4" t="n"/>
      <c r="D33" s="5">
        <f>IF(A33="","",C33-B33)</f>
        <v/>
      </c>
      <c r="F33" s="6" t="n"/>
    </row>
    <row r="34">
      <c r="A34" s="40" t="n"/>
      <c r="B34" s="4" t="n"/>
      <c r="C34" s="4" t="n"/>
      <c r="D34" s="5">
        <f>IF(A34="","",C34-B34)</f>
        <v/>
      </c>
      <c r="F34" s="6" t="n"/>
    </row>
    <row r="36">
      <c r="A36" s="31" t="inlineStr">
        <is>
          <t>🍽️ MEALS (1인 1끼, USD)</t>
        </is>
      </c>
      <c r="B36" s="44" t="n"/>
      <c r="C36" s="44" t="n"/>
      <c r="D36" s="44" t="n"/>
      <c r="E36" s="44" t="n"/>
      <c r="F36" s="44" t="n"/>
      <c r="G36" s="45" t="n"/>
    </row>
    <row r="37">
      <c r="A37" s="2" t="inlineStr">
        <is>
          <t>Meal</t>
        </is>
      </c>
      <c r="B37" s="2" t="inlineStr">
        <is>
          <t>Cost</t>
        </is>
      </c>
      <c r="C37" s="2" t="inlineStr">
        <is>
          <t>Sell</t>
        </is>
      </c>
      <c r="D37" s="2" t="inlineStr">
        <is>
          <t>Margin</t>
        </is>
      </c>
      <c r="E37" s="2" t="n"/>
      <c r="F37" s="2" t="inlineStr">
        <is>
          <t>Notes</t>
        </is>
      </c>
      <c r="G37" s="2" t="n"/>
    </row>
    <row r="38">
      <c r="A38" s="70" t="inlineStr">
        <is>
          <t>Breakfast (Hotel)</t>
        </is>
      </c>
      <c r="B38" s="71" t="n">
        <v>30</v>
      </c>
      <c r="C38" s="71" t="n">
        <v>45</v>
      </c>
      <c r="D38" s="5">
        <f>IF(A38="","",C38-B38)</f>
        <v/>
      </c>
      <c r="F38" s="6" t="inlineStr">
        <is>
          <t>Daily included</t>
        </is>
      </c>
    </row>
    <row r="39">
      <c r="A39" s="70" t="inlineStr">
        <is>
          <t>Lunch</t>
        </is>
      </c>
      <c r="B39" s="71" t="n">
        <v>40</v>
      </c>
      <c r="C39" s="71" t="n">
        <v>60</v>
      </c>
      <c r="D39" s="5">
        <f>IF(A39="","",C39-B39)</f>
        <v/>
      </c>
      <c r="F39" s="6" t="inlineStr">
        <is>
          <t>Daily included</t>
        </is>
      </c>
    </row>
    <row r="40">
      <c r="A40" s="70" t="inlineStr">
        <is>
          <t>Dinner (Regular)</t>
        </is>
      </c>
      <c r="B40" s="71" t="n">
        <v>80</v>
      </c>
      <c r="C40" s="71" t="n">
        <v>120</v>
      </c>
      <c r="D40" s="5">
        <f>IF(A40="","",C40-B40)</f>
        <v/>
      </c>
      <c r="F40" s="6" t="inlineStr">
        <is>
          <t>Regular dinner</t>
        </is>
      </c>
    </row>
    <row r="41">
      <c r="A41" s="70" t="inlineStr">
        <is>
          <t>Exclusive Dinner (Michelin/Fine)</t>
        </is>
      </c>
      <c r="B41" s="71" t="n">
        <v>120</v>
      </c>
      <c r="C41" s="71" t="n">
        <v>180</v>
      </c>
      <c r="D41" s="5">
        <f>IF(A41="","",C41-B41)</f>
        <v/>
      </c>
      <c r="F41" s="6" t="inlineStr">
        <is>
          <t>2x per trip</t>
        </is>
      </c>
    </row>
    <row r="42">
      <c r="A42" s="40" t="n"/>
      <c r="B42" s="4" t="n"/>
      <c r="C42" s="4" t="n"/>
      <c r="D42" s="5">
        <f>IF(A42="","",C42-B42)</f>
        <v/>
      </c>
      <c r="F42" s="6" t="n"/>
    </row>
    <row r="43">
      <c r="A43" s="40" t="n"/>
      <c r="B43" s="4" t="n"/>
      <c r="C43" s="4" t="n"/>
      <c r="D43" s="5">
        <f>IF(A43="","",C43-B43)</f>
        <v/>
      </c>
      <c r="F43" s="6" t="n"/>
    </row>
    <row r="44">
      <c r="A44" s="40" t="n"/>
      <c r="B44" s="4" t="n"/>
      <c r="C44" s="4" t="n"/>
      <c r="D44" s="5">
        <f>IF(A44="","",C44-B44)</f>
        <v/>
      </c>
      <c r="F44" s="6" t="n"/>
    </row>
    <row r="45">
      <c r="A45" s="40" t="n"/>
      <c r="B45" s="4" t="n"/>
      <c r="C45" s="4" t="n"/>
      <c r="D45" s="5">
        <f>IF(A45="","",C45-B45)</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2" t="inlineStr">
        <is>
          <t>Margin</t>
        </is>
      </c>
      <c r="E49" s="2" t="n"/>
      <c r="F49" s="2" t="inlineStr">
        <is>
          <t>Notes</t>
        </is>
      </c>
      <c r="G49" s="2" t="n"/>
    </row>
    <row r="50">
      <c r="A50" s="70" t="inlineStr">
        <is>
          <t>Insurance / Tips / Contingency</t>
        </is>
      </c>
      <c r="B50" s="71" t="n">
        <v>50</v>
      </c>
      <c r="C50" s="71" t="n">
        <v>75</v>
      </c>
      <c r="D50" s="5">
        <f>IF(A50="","",C50-B50)</f>
        <v/>
      </c>
      <c r="F50" s="6" t="inlineStr">
        <is>
          <t>Per person per day</t>
        </is>
      </c>
    </row>
    <row r="51">
      <c r="A51" s="40" t="n"/>
      <c r="B51" s="4" t="n"/>
      <c r="C51" s="4" t="n"/>
      <c r="D51" s="5">
        <f>IF(A51="","",C51-B51)</f>
        <v/>
      </c>
      <c r="F51" s="6" t="n"/>
    </row>
    <row r="52">
      <c r="A52" s="40" t="n"/>
      <c r="B52" s="4" t="n"/>
      <c r="C52" s="4" t="n"/>
      <c r="D52" s="5">
        <f>IF(A52="","",C52-B52)</f>
        <v/>
      </c>
      <c r="F52" s="6" t="n"/>
    </row>
    <row r="53">
      <c r="A53" s="40" t="n"/>
      <c r="B53" s="4" t="n"/>
      <c r="C53" s="4" t="n"/>
      <c r="D53" s="5">
        <f>IF(A53="","",C53-B53)</f>
        <v/>
      </c>
      <c r="F53" s="6" t="n"/>
    </row>
    <row r="54">
      <c r="A54" s="40" t="n"/>
      <c r="B54" s="4" t="n"/>
      <c r="C54" s="4" t="n"/>
      <c r="D54" s="5">
        <f>IF(A54="","",C54-B54)</f>
        <v/>
      </c>
      <c r="F54" s="6" t="n"/>
    </row>
    <row r="55">
      <c r="A55" s="40" t="n"/>
      <c r="B55" s="4" t="n"/>
      <c r="C55" s="4" t="n"/>
      <c r="D55" s="5">
        <f>IF(A55="","",C55-B55)</f>
        <v/>
      </c>
      <c r="F55" s="6" t="n"/>
    </row>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46" t="inlineStr">
        <is>
          <t>Margin ($)</t>
        </is>
      </c>
      <c r="F85" s="46" t="inlineStr">
        <is>
          <t>Per Group?</t>
        </is>
      </c>
      <c r="G85" s="46" t="inlineStr">
        <is>
          <t>Notes</t>
        </is>
      </c>
    </row>
    <row r="86">
      <c r="A86" s="74" t="inlineStr">
        <is>
          <t>NBA/MLB Game (Ticket)</t>
        </is>
      </c>
      <c r="B86" s="75" t="n">
        <v>120</v>
      </c>
      <c r="C86" s="75" t="n">
        <v>180</v>
      </c>
      <c r="D86" s="51">
        <f>IF(A86="","",C86-B86)</f>
        <v/>
      </c>
      <c r="E86" s="49" t="n"/>
      <c r="F86" s="49" t="inlineStr">
        <is>
          <t>1p</t>
        </is>
      </c>
      <c r="G86" s="49" t="inlineStr">
        <is>
          <t>Seasonal; group rates available</t>
        </is>
      </c>
    </row>
    <row r="87">
      <c r="A87" s="74" t="inlineStr">
        <is>
          <t>Sports Bar Experience</t>
        </is>
      </c>
      <c r="B87" s="75" t="n">
        <v>60</v>
      </c>
      <c r="C87" s="75" t="n">
        <v>90</v>
      </c>
      <c r="D87" s="51">
        <f>IF(A87="","",C87-B87)</f>
        <v/>
      </c>
      <c r="E87" s="49" t="n"/>
      <c r="F87" s="49" t="inlineStr">
        <is>
          <t>1p</t>
        </is>
      </c>
      <c r="G87" s="49" t="inlineStr">
        <is>
          <t>Premium sports bar with food/drinks</t>
        </is>
      </c>
    </row>
    <row r="88">
      <c r="A88" s="74" t="inlineStr">
        <is>
          <t>Local Hiking (Griffith/Runyon)</t>
        </is>
      </c>
      <c r="B88" s="75" t="n">
        <v>0</v>
      </c>
      <c r="C88" s="75" t="n">
        <v>30</v>
      </c>
      <c r="D88" s="51">
        <f>IF(A88="","",C88-B88)</f>
        <v/>
      </c>
      <c r="E88" s="49" t="n"/>
      <c r="F88" s="49" t="inlineStr">
        <is>
          <t>1p</t>
        </is>
      </c>
      <c r="G88" s="49" t="inlineStr">
        <is>
          <t>Guided tour included</t>
        </is>
      </c>
    </row>
    <row r="89">
      <c r="A89" s="74" t="inlineStr">
        <is>
          <t>Beach/Surf Lesson</t>
        </is>
      </c>
      <c r="B89" s="75" t="n">
        <v>60</v>
      </c>
      <c r="C89" s="75" t="n">
        <v>100</v>
      </c>
      <c r="D89" s="51">
        <f>IF(A89="","",C89-B89)</f>
        <v/>
      </c>
      <c r="E89" s="49" t="n"/>
      <c r="F89" s="49" t="inlineStr">
        <is>
          <t>1p</t>
        </is>
      </c>
      <c r="G89" s="49" t="inlineStr">
        <is>
          <t>2hr session; equipment incl.</t>
        </is>
      </c>
    </row>
    <row r="90">
      <c r="A90" s="74" t="inlineStr">
        <is>
          <t>(New Activity 5)</t>
        </is>
      </c>
      <c r="B90" s="49" t="n"/>
      <c r="C90" s="49" t="n"/>
      <c r="D90" s="51">
        <f>IF(A90="","",C90-B90)</f>
        <v/>
      </c>
      <c r="E90" s="49" t="n"/>
      <c r="F90" s="49" t="n"/>
      <c r="G90" s="49" t="n"/>
    </row>
    <row r="91">
      <c r="A91" s="74" t="inlineStr">
        <is>
          <t>(New Activity 6)</t>
        </is>
      </c>
      <c r="B91" s="49" t="n"/>
      <c r="C91" s="49" t="n"/>
      <c r="D91" s="51">
        <f>IF(A91="","",C91-B91)</f>
        <v/>
      </c>
      <c r="E91" s="49" t="n"/>
      <c r="F91" s="49" t="n"/>
      <c r="G91" s="49" t="n"/>
    </row>
    <row r="92">
      <c r="A92" s="74" t="inlineStr">
        <is>
          <t>(New Activity 7)</t>
        </is>
      </c>
      <c r="B92" s="49" t="n"/>
      <c r="C92" s="49" t="n"/>
      <c r="D92" s="51">
        <f>IF(A92="","",C92-B92)</f>
        <v/>
      </c>
      <c r="E92" s="49" t="n"/>
      <c r="F92" s="49" t="n"/>
      <c r="G92" s="49" t="n"/>
    </row>
    <row r="93">
      <c r="A93" s="74" t="inlineStr">
        <is>
          <t>(New Activity 8)</t>
        </is>
      </c>
      <c r="B93" s="49" t="n"/>
      <c r="C93" s="49" t="n"/>
      <c r="D93" s="51">
        <f>IF(A93="","",C93-B93)</f>
        <v/>
      </c>
      <c r="E93" s="49" t="n"/>
      <c r="F93" s="49" t="n"/>
      <c r="G93" s="49" t="n"/>
    </row>
    <row r="94">
      <c r="A94" s="74" t="inlineStr">
        <is>
          <t>(New Activity 9)</t>
        </is>
      </c>
      <c r="B94" s="49" t="n"/>
      <c r="C94" s="49" t="n"/>
      <c r="D94" s="51">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tabColor rgb="FFD4AF37"/>
    <outlinePr summaryBelow="1" summaryRight="1"/>
    <pageSetUpPr/>
  </sheetPr>
  <dimension ref="A1:P10"/>
  <sheetViews>
    <sheetView workbookViewId="0">
      <pane ySplit="4" topLeftCell="A5" activePane="bottomLeft" state="frozen"/>
      <selection pane="bottomLeft" activeCell="I5" sqref="I5"/>
    </sheetView>
  </sheetViews>
  <sheetFormatPr baseColWidth="8" defaultRowHeight="15"/>
  <cols>
    <col width="7" customWidth="1" style="42" min="1" max="1"/>
    <col width="3.7109375" bestFit="1" customWidth="1" style="42" min="2" max="2"/>
    <col width="5.7109375" bestFit="1" customWidth="1" style="42" min="3" max="3"/>
    <col width="12" customWidth="1" style="42" min="4" max="4"/>
    <col width="3" bestFit="1" customWidth="1" style="42" min="5" max="6"/>
    <col width="4" bestFit="1" customWidth="1" style="42" min="7" max="7"/>
    <col width="14" customWidth="1" style="42" min="8" max="8"/>
    <col width="6.28515625" bestFit="1" customWidth="1" style="42" min="9" max="9"/>
    <col width="6.140625" bestFit="1" customWidth="1" style="42" min="10" max="10"/>
    <col width="6.28515625" bestFit="1" customWidth="1" style="42" min="11" max="11"/>
    <col width="6.140625" bestFit="1" customWidth="1" style="42" min="12" max="12"/>
    <col width="5.140625" bestFit="1" customWidth="1" style="42" min="13" max="13"/>
    <col width="7.28515625" bestFit="1" customWidth="1" style="42" min="14" max="14"/>
  </cols>
  <sheetData>
    <row r="1" ht="38.25" customHeight="1" s="42">
      <c r="A1" s="32" t="inlineStr">
        <is>
          <t>🎯 결 TOUR — 대표 패키지 (1인 기준, USD | 중복코스 없음)</t>
        </is>
      </c>
    </row>
    <row r="2">
      <c r="A2" s="37" t="inlineStr">
        <is>
          <t>⚠️ 참고용 대표패키지 → 'Package Selector' 시트에서 자유롭게 커스터마이징</t>
        </is>
      </c>
    </row>
    <row r="4" ht="16.5" customHeight="1" s="42">
      <c r="A4" s="76" t="inlineStr">
        <is>
          <t>No</t>
        </is>
      </c>
      <c r="B4" s="76" t="inlineStr">
        <is>
          <t>ID</t>
        </is>
      </c>
      <c r="C4" s="76" t="inlineStr">
        <is>
          <t>일정</t>
        </is>
      </c>
      <c r="D4" s="76" t="inlineStr">
        <is>
          <t>패키지명</t>
        </is>
      </c>
      <c r="E4" s="76" t="inlineStr">
        <is>
          <t>박</t>
        </is>
      </c>
      <c r="F4" s="76" t="inlineStr">
        <is>
          <t>일</t>
        </is>
      </c>
      <c r="G4" s="76" t="inlineStr">
        <is>
          <t>Rds</t>
        </is>
      </c>
      <c r="H4" s="76" t="inlineStr">
        <is>
          <t>코스구성</t>
        </is>
      </c>
      <c r="I4" s="77" t="inlineStr">
        <is>
          <t>⛳ 골프</t>
        </is>
      </c>
      <c r="J4" s="92" t="n"/>
      <c r="K4" s="93" t="inlineStr">
        <is>
          <t>🔄 리플레이</t>
        </is>
      </c>
      <c r="L4" s="92" t="n"/>
      <c r="M4" s="77" t="inlineStr">
        <is>
          <t>🏨 호텔</t>
        </is>
      </c>
      <c r="N4" s="92" t="n"/>
      <c r="O4" s="76" t="inlineStr">
        <is>
          <t>마진</t>
        </is>
      </c>
      <c r="P4" s="76" t="inlineStr">
        <is>
          <t>마진율</t>
        </is>
      </c>
    </row>
    <row r="5" ht="51" customHeight="1" s="42">
      <c r="A5" s="78" t="n"/>
      <c r="B5" s="78" t="n"/>
      <c r="C5" s="78" t="n"/>
      <c r="D5" s="78" t="n"/>
      <c r="E5" s="78" t="n"/>
      <c r="F5" s="78" t="n"/>
      <c r="G5" s="78" t="n"/>
      <c r="H5" s="78" t="n"/>
      <c r="I5" s="78" t="inlineStr">
        <is>
          <t>Cost</t>
        </is>
      </c>
      <c r="J5" s="78" t="inlineStr">
        <is>
          <t>Sell</t>
        </is>
      </c>
      <c r="K5" s="96" t="inlineStr">
        <is>
          <t>Cost</t>
        </is>
      </c>
      <c r="L5" s="96" t="inlineStr">
        <is>
          <t>Sell</t>
        </is>
      </c>
      <c r="M5" s="78" t="inlineStr">
        <is>
          <t>Cost</t>
        </is>
      </c>
      <c r="N5" s="78" t="inlineStr">
        <is>
          <t>Sell</t>
        </is>
      </c>
      <c r="O5" s="76" t="inlineStr">
        <is>
          <t>마진</t>
        </is>
      </c>
      <c r="P5" s="76" t="inlineStr">
        <is>
          <t>마진율</t>
        </is>
      </c>
    </row>
    <row r="6" ht="51" customHeight="1" s="42">
      <c r="A6" s="6" t="n">
        <v>1</v>
      </c>
      <c r="B6" s="7" t="inlineStr">
        <is>
          <t>S1</t>
        </is>
      </c>
      <c r="C6" s="6" t="inlineStr">
        <is>
          <t>3N4D</t>
        </is>
      </c>
      <c r="D6" s="6" t="inlineStr">
        <is>
          <t>트럼프 + 샌드파이퍼 오션뷰</t>
        </is>
      </c>
      <c r="E6" s="6" t="n">
        <v>3</v>
      </c>
      <c r="F6" s="6" t="n">
        <v>4</v>
      </c>
      <c r="G6" s="6" t="n">
        <v>2</v>
      </c>
      <c r="H6" s="6" t="inlineStr">
        <is>
          <t>Trump×1 + Sand×1</t>
        </is>
      </c>
      <c r="I6" s="5" t="n">
        <v>340</v>
      </c>
      <c r="J6" s="5" t="n">
        <v>745</v>
      </c>
      <c r="K6" s="79" t="n">
        <v>0</v>
      </c>
      <c r="L6" s="79" t="n">
        <v>120</v>
      </c>
      <c r="M6" s="5" t="n">
        <v>825</v>
      </c>
      <c r="N6" s="5" t="n">
        <v>1125</v>
      </c>
      <c r="O6" s="79">
        <f>(J6+L6+N6)-(I6+K6+M6)</f>
        <v/>
      </c>
      <c r="P6" s="80">
        <f>IF(J6+L6+N6&gt;0,(J6+L6+N6-I6-K6-M6)/(J6+L6+N6),0)</f>
        <v/>
      </c>
    </row>
    <row r="7" ht="34.5" customHeight="1" s="42">
      <c r="A7" s="6" t="n">
        <v>2</v>
      </c>
      <c r="B7" s="7" t="inlineStr">
        <is>
          <t>S2</t>
        </is>
      </c>
      <c r="C7" s="6" t="inlineStr">
        <is>
          <t>3N4D</t>
        </is>
      </c>
      <c r="D7" s="6" t="inlineStr">
        <is>
          <t>트럼프 + 히든밸리 밸리뷰</t>
        </is>
      </c>
      <c r="E7" s="6" t="n">
        <v>3</v>
      </c>
      <c r="F7" s="6" t="n">
        <v>4</v>
      </c>
      <c r="G7" s="6" t="n">
        <v>2</v>
      </c>
      <c r="H7" s="6" t="inlineStr">
        <is>
          <t>Trump×1 + HV×1</t>
        </is>
      </c>
      <c r="I7" s="5" t="n">
        <v>319</v>
      </c>
      <c r="J7" s="5" t="n">
        <v>609</v>
      </c>
      <c r="K7" s="79" t="n">
        <v>45</v>
      </c>
      <c r="L7" s="79" t="n">
        <v>45</v>
      </c>
      <c r="M7" s="5" t="n">
        <v>825</v>
      </c>
      <c r="N7" s="5" t="n">
        <v>1125</v>
      </c>
      <c r="O7" s="79">
        <f>(J7+L7+N7)-(I7+K7+M7)</f>
        <v/>
      </c>
      <c r="P7" s="80">
        <f>IF(J7+L7+N7&gt;0,(J7+L7+N7-I7-K7-M7)/(J7+L7+N7),0)</f>
        <v/>
      </c>
    </row>
    <row r="8">
      <c r="A8" s="6" t="n">
        <v>3</v>
      </c>
      <c r="B8" s="7" t="inlineStr">
        <is>
          <t>S3</t>
        </is>
      </c>
      <c r="C8" s="6" t="inlineStr">
        <is>
          <t>3N4D</t>
        </is>
      </c>
      <c r="D8" s="6" t="inlineStr">
        <is>
          <t>샌드파이퍼 + 히든밸리</t>
        </is>
      </c>
      <c r="E8" s="6" t="n">
        <v>3</v>
      </c>
      <c r="F8" s="6" t="n">
        <v>4</v>
      </c>
      <c r="G8" s="6" t="n">
        <v>2</v>
      </c>
      <c r="H8" s="6" t="inlineStr">
        <is>
          <t>Sand×1 + HV×1</t>
        </is>
      </c>
      <c r="I8" s="5" t="n">
        <v>239</v>
      </c>
      <c r="J8" s="5" t="n">
        <v>354</v>
      </c>
      <c r="K8" s="79" t="n">
        <v>45</v>
      </c>
      <c r="L8" s="79" t="n">
        <v>45</v>
      </c>
      <c r="M8" s="5" t="n">
        <v>825</v>
      </c>
      <c r="N8" s="5" t="n">
        <v>1125</v>
      </c>
      <c r="O8" s="79">
        <f>(J8+L8+N8)-(I8+K8+M8)</f>
        <v/>
      </c>
      <c r="P8" s="80">
        <f>IF(J8+L8+N8&gt;0,(J8+L8+N8-I8-K8-M8)/(J8+L8+N8),0)</f>
        <v/>
      </c>
    </row>
    <row r="9" ht="51" customHeight="1" s="42">
      <c r="A9" s="10" t="n"/>
      <c r="B9" s="10" t="n"/>
      <c r="C9" s="10" t="n"/>
      <c r="D9" s="10" t="n"/>
      <c r="E9" s="10" t="n"/>
      <c r="F9" s="10" t="n"/>
      <c r="G9" s="10" t="n"/>
      <c r="H9" s="10" t="n"/>
      <c r="I9" s="10" t="n"/>
      <c r="J9" s="10" t="n"/>
      <c r="M9" s="10" t="n"/>
      <c r="N9" s="10" t="n"/>
      <c r="O9" s="10" t="n"/>
      <c r="P9" s="10" t="n"/>
    </row>
    <row r="10">
      <c r="A10" s="6" t="n">
        <v>4</v>
      </c>
      <c r="B10" s="7" t="inlineStr">
        <is>
          <t>M1</t>
        </is>
      </c>
      <c r="C10" s="6" t="inlineStr">
        <is>
          <t>5N7D</t>
        </is>
      </c>
      <c r="D10" s="6" t="inlineStr">
        <is>
          <t>트럼프+샌드+히든 3色 시그니처</t>
        </is>
      </c>
      <c r="E10" s="6" t="n">
        <v>5</v>
      </c>
      <c r="F10" s="6" t="n">
        <v>7</v>
      </c>
      <c r="G10" s="6" t="n">
        <v>3</v>
      </c>
      <c r="H10" s="6" t="inlineStr">
        <is>
          <t>Trump×1+Sand×1+HV×1</t>
        </is>
      </c>
      <c r="I10" s="5" t="n">
        <v>449</v>
      </c>
      <c r="J10" s="5" t="n">
        <v>854</v>
      </c>
      <c r="K10" s="79" t="n">
        <v>45</v>
      </c>
      <c r="L10" s="79" t="n">
        <v>165</v>
      </c>
      <c r="M10" s="5" t="n">
        <v>1375</v>
      </c>
      <c r="N10" s="5" t="n">
        <v>1875</v>
      </c>
      <c r="O10" s="79">
        <f>(J10+L10+N10)-(I10+K10+M10)</f>
        <v/>
      </c>
      <c r="P10" s="80">
        <f>IF(J10+L10+N10&gt;0,(J10+L10+N10-I10-K10-M10)/(J10+L10+N10),0)</f>
        <v/>
      </c>
    </row>
  </sheetData>
  <mergeCells count="4">
    <mergeCell ref="K4:L4"/>
    <mergeCell ref="A1:P1"/>
    <mergeCell ref="M4:N4"/>
    <mergeCell ref="I4:J4"/>
  </mergeCells>
  <pageMargins left="0.75" right="0.75" top="1" bottom="1" header="0.5" footer="0.5"/>
</worksheet>
</file>

<file path=xl/worksheets/sheet3.xml><?xml version="1.0" encoding="utf-8"?>
<worksheet xmlns="http://schemas.openxmlformats.org/spreadsheetml/2006/main">
  <sheetPr>
    <tabColor rgb="FF2E7D32"/>
    <outlinePr summaryBelow="1" summaryRight="1"/>
    <pageSetUpPr/>
  </sheetPr>
  <dimension ref="A1:N90"/>
  <sheetViews>
    <sheetView tabSelected="1" workbookViewId="0">
      <pane ySplit="4" topLeftCell="A19" activePane="bottomLeft" state="frozen"/>
      <selection pane="bottomLeft" activeCell="B31" sqref="B31"/>
    </sheetView>
  </sheetViews>
  <sheetFormatPr baseColWidth="8" defaultRowHeight="15"/>
  <cols>
    <col width="8" customWidth="1" style="42" min="1" max="1"/>
    <col width="28" customWidth="1" style="42" min="2" max="2"/>
    <col width="8" bestFit="1" customWidth="1" style="42" min="3" max="3"/>
    <col width="12" bestFit="1" customWidth="1" style="42" min="4" max="4"/>
    <col width="12" customWidth="1" style="42" min="5" max="6"/>
    <col width="12" customWidth="1" style="42" min="6" max="6"/>
    <col width="14" bestFit="1" customWidth="1" style="42" min="7" max="7"/>
    <col width="14" bestFit="1" customWidth="1" style="42" min="8" max="8"/>
    <col width="14" customWidth="1" style="42" min="9" max="9"/>
    <col width="40" customWidth="1" style="42" min="10" max="10"/>
    <col width="16" bestFit="1" customWidth="1" style="42" min="11" max="11"/>
    <col width="14" customWidth="1" style="42" min="12" max="12"/>
    <col width="18" customWidth="1" style="42" min="13" max="13"/>
    <col width="14" customWidth="1" style="42" min="14" max="14"/>
  </cols>
  <sheetData>
    <row r="1" ht="25.5" customHeight="1" s="42">
      <c r="A1" s="32" t="inlineStr">
        <is>
          <t>🎯 결 TOUR — Package Selector &amp; Estimator</t>
        </is>
      </c>
    </row>
    <row r="2" s="42">
      <c r="A2" s="37" t="inlineStr">
        <is>
          <t>⬇️ 드롭다운 선택 → 가격 자동계산 → 항공편 연동 → 나만의 견적 완성!</t>
        </is>
      </c>
    </row>
    <row r="4">
      <c r="A4" s="31" t="inlineStr">
        <is>
          <t>📋 PACKAGE INFO</t>
        </is>
      </c>
      <c r="B4" s="44" t="n"/>
      <c r="C4" s="44" t="n"/>
      <c r="D4" s="44" t="n"/>
      <c r="E4" s="44" t="n"/>
      <c r="F4" s="44" t="n"/>
      <c r="G4" s="44" t="n"/>
      <c r="H4" s="44" t="n"/>
      <c r="I4" s="44" t="n"/>
      <c r="J4" s="44" t="n"/>
      <c r="K4" s="44" t="n"/>
      <c r="L4" s="45" t="n"/>
    </row>
    <row r="5" ht="30.75" customHeight="1" s="42">
      <c r="A5" s="11" t="inlineStr">
        <is>
          <t>Package Name</t>
        </is>
      </c>
      <c r="B5" s="34" t="n"/>
      <c r="C5" s="44" t="n"/>
      <c r="D5" s="44" t="n"/>
      <c r="E5" s="45" t="n"/>
      <c r="F5" s="12" t="inlineStr">
        <is>
          <t>Golfers</t>
        </is>
      </c>
      <c r="G5" s="13" t="n">
        <v>4</v>
      </c>
      <c r="H5" s="14" t="inlineStr">
        <is>
          <t>persons</t>
        </is>
      </c>
    </row>
    <row r="7">
      <c r="A7" s="31" t="inlineStr">
        <is>
          <t>✈️ FLIGHT DETAILS (현지시간 기준)</t>
        </is>
      </c>
      <c r="B7" s="44" t="n"/>
      <c r="C7" s="44" t="n"/>
      <c r="D7" s="44" t="n"/>
      <c r="E7" s="44" t="n"/>
      <c r="F7" s="44" t="n"/>
      <c r="G7" s="44" t="n"/>
      <c r="H7" s="44" t="n"/>
      <c r="I7" s="44" t="n"/>
      <c r="J7" s="44" t="n"/>
      <c r="K7" s="44" t="n"/>
      <c r="L7" s="45" t="n"/>
    </row>
    <row r="8" ht="32.25" customHeight="1" s="42">
      <c r="A8" s="11" t="inlineStr">
        <is>
          <t>✈️ Outbound</t>
        </is>
      </c>
      <c r="B8" s="7" t="inlineStr">
        <is>
          <t>Date (mm/dd)</t>
        </is>
      </c>
      <c r="C8" s="39" t="n">
        <v>46167</v>
      </c>
      <c r="D8" s="15" t="inlineStr">
        <is>
          <t>Flight#</t>
        </is>
      </c>
      <c r="E8" s="34" t="inlineStr">
        <is>
          <t>KE011</t>
        </is>
      </c>
      <c r="F8" s="16" t="inlineStr">
        <is>
          <t>→ Dep ICN:</t>
        </is>
      </c>
      <c r="G8" s="17">
        <f>IF(E8="","",VLOOKUP(E8,'Master Data'!$A$60:$D$69,3,FALSE))</f>
        <v/>
      </c>
      <c r="H8" s="16" t="inlineStr">
        <is>
          <t>Arr LAX:</t>
        </is>
      </c>
      <c r="I8" s="17">
        <f>IF(E8="","",VLOOKUP(E8,'Master Data'!$A$60:$D$69,4,FALSE))</f>
        <v/>
      </c>
      <c r="J8" s="18" t="inlineStr">
        <is>
          <t>(day before or same day)</t>
        </is>
      </c>
      <c r="K8" s="51">
        <f>IF(E8="","","⏱ "&amp;VLOOKUP(E8,'Master Data'!$A$60:$I$69,8,FALSE))</f>
        <v/>
      </c>
      <c r="L8" s="50" t="inlineStr">
        <is>
          <t>Economy</t>
        </is>
      </c>
      <c r="M8" s="51">
        <f>IF(C8="","",TEXT(C8,"yyyy-mm-dd (ddd)"))</f>
        <v/>
      </c>
      <c r="N8" s="51">
        <f>IF(E8="","",VLOOKUP(E8,'Master Data'!$A$60:$I$69,9,FALSE))</f>
        <v/>
      </c>
    </row>
    <row r="9" ht="32.25" customHeight="1" s="42">
      <c r="A9" s="11" t="inlineStr">
        <is>
          <t>✈️ Return</t>
        </is>
      </c>
      <c r="B9" s="7" t="inlineStr">
        <is>
          <t>Date (mm/dd)</t>
        </is>
      </c>
      <c r="C9" s="39" t="n">
        <v>46172</v>
      </c>
      <c r="D9" s="15" t="inlineStr">
        <is>
          <t>Flight#</t>
        </is>
      </c>
      <c r="E9" s="34" t="inlineStr">
        <is>
          <t>KE018</t>
        </is>
      </c>
      <c r="F9" s="16" t="inlineStr">
        <is>
          <t>→ Dep LAX:</t>
        </is>
      </c>
      <c r="G9" s="17">
        <f>IF(E9="","",VLOOKUP(E9,'Master Data'!$A$74:$D$83,3,FALSE))</f>
        <v/>
      </c>
      <c r="H9" s="16" t="inlineStr">
        <is>
          <t>Arr ICN:</t>
        </is>
      </c>
      <c r="I9" s="17">
        <f>IF(E9="","",VLOOKUP(E9,'Master Data'!$A$74:$D$83,4,FALSE))</f>
        <v/>
      </c>
      <c r="J9" s="18" t="inlineStr">
        <is>
          <t>(+1 or +2 days)</t>
        </is>
      </c>
      <c r="K9" s="51">
        <f>IF(E9="","",VLOOKUP(E9,'Master Data'!$A$74:$I$83,8,FALSE))</f>
        <v/>
      </c>
      <c r="L9" s="50" t="inlineStr">
        <is>
          <t>Economy</t>
        </is>
      </c>
      <c r="M9" s="51">
        <f>IF(C9="","",TEXT(C9+2,"yyyy-mm-dd (ddd)"))</f>
        <v/>
      </c>
      <c r="N9" s="51">
        <f>IF(E9="","",VLOOKUP(E9,'Master Data'!$A$74:$I$83,9,FALSE))</f>
        <v/>
      </c>
    </row>
    <row r="10">
      <c r="A10" s="19" t="n"/>
      <c r="B10" s="19" t="n"/>
      <c r="C10" s="19" t="n"/>
      <c r="D10" s="19" t="n"/>
      <c r="E10" s="19" t="n"/>
      <c r="F10" s="19" t="n"/>
      <c r="G10" s="19" t="n"/>
      <c r="H10" s="19" t="n"/>
      <c r="I10" s="19" t="n"/>
      <c r="J10" s="19" t="n"/>
      <c r="K10" s="19" t="inlineStr"/>
      <c r="L10" s="19" t="inlineStr"/>
    </row>
    <row r="11" ht="32.25" customHeight="1" s="42">
      <c r="A11" s="11" t="inlineStr">
        <is>
          <t>📅 Trip Duration</t>
        </is>
      </c>
      <c r="B11" s="15" t="inlineStr">
        <is>
          <t>Nights (auto)</t>
        </is>
      </c>
      <c r="C11" s="20">
        <f>IF(AND(C8&lt;&gt;"",C9&lt;&gt;""),C9-C8,"")</f>
        <v/>
      </c>
      <c r="D11" s="14" t="inlineStr">
        <is>
          <t>nights</t>
        </is>
      </c>
      <c r="E11" s="15" t="inlineStr">
        <is>
          <t>Days (auto)</t>
        </is>
      </c>
      <c r="F11" s="20">
        <f>IF(C11&lt;&gt;"",C11+1,"")</f>
        <v/>
      </c>
      <c r="G11" s="14" t="inlineStr">
        <is>
          <t>days</t>
        </is>
      </c>
      <c r="H11" s="15" t="inlineStr">
        <is>
          <t>Duration:</t>
        </is>
      </c>
      <c r="I11" s="17">
        <f>IF(C11&lt;&gt;"",C11&amp;"N"&amp;F11&amp;"D","Select flights ↑")</f>
        <v/>
      </c>
    </row>
    <row r="13">
      <c r="A13" s="31" t="inlineStr">
        <is>
          <t>⛳ GOLF (1인 1라운드) — Replay=2라운드째부터 자동계산</t>
        </is>
      </c>
      <c r="B13" s="44" t="n"/>
      <c r="C13" s="44" t="n"/>
      <c r="D13" s="44" t="n"/>
      <c r="E13" s="44" t="n"/>
      <c r="F13" s="44" t="n"/>
      <c r="G13" s="44" t="n"/>
      <c r="H13" s="44" t="n"/>
      <c r="I13" s="44" t="n"/>
      <c r="J13" s="44" t="n"/>
      <c r="K13" s="44" t="n"/>
      <c r="L13" s="45" t="n"/>
    </row>
    <row r="14" ht="32.25" customHeight="1" s="42">
      <c r="A14" s="2" t="inlineStr">
        <is>
          <t>#</t>
        </is>
      </c>
      <c r="B14" s="2" t="inlineStr">
        <is>
          <t>Item (Select ▼)</t>
        </is>
      </c>
      <c r="C14" s="2" t="inlineStr">
        <is>
          <t>Qty</t>
        </is>
      </c>
      <c r="D14" s="2" t="inlineStr">
        <is>
          <t>Cost/unit</t>
        </is>
      </c>
      <c r="E14" s="2" t="inlineStr">
        <is>
          <t>Sell/unit</t>
        </is>
      </c>
      <c r="F14" s="2" t="inlineStr">
        <is>
          <t>Margin/u</t>
        </is>
      </c>
      <c r="G14" s="2" t="inlineStr">
        <is>
          <t>Total Cost</t>
        </is>
      </c>
      <c r="H14" s="2" t="inlineStr">
        <is>
          <t>Total Sell</t>
        </is>
      </c>
      <c r="I14" s="2" t="inlineStr">
        <is>
          <t>Total Margin</t>
        </is>
      </c>
      <c r="J14" s="2" t="inlineStr">
        <is>
          <t>Replay</t>
        </is>
      </c>
      <c r="K14" s="2" t="inlineStr"/>
      <c r="L14" s="2" t="inlineStr"/>
    </row>
    <row r="15" ht="30.75" customHeight="1" s="42">
      <c r="A15" s="81" t="n">
        <v>1</v>
      </c>
      <c r="B15" s="82" t="inlineStr">
        <is>
          <t>Trump National LA</t>
        </is>
      </c>
      <c r="C15" s="83" t="n">
        <v>2</v>
      </c>
      <c r="D15" s="84">
        <f>IF(B15="","",VLOOKUP(B15,'Master Data'!$A$7:$C$14,2,FALSE))</f>
        <v/>
      </c>
      <c r="E15" s="84">
        <f>IF(B15="","",VLOOKUP(B15,'Master Data'!$A$7:$C$14,3,FALSE))</f>
        <v/>
      </c>
      <c r="F15" s="84">
        <f>IF(E15&lt;&gt;"",E15-D15,"")</f>
        <v/>
      </c>
      <c r="G15" s="84">
        <f>IF(B15="","",C15*D15)</f>
        <v/>
      </c>
      <c r="H15" s="84">
        <f>IF(B15="","",C15*E15)</f>
        <v/>
      </c>
      <c r="I15" s="84">
        <f>IF(H15&lt;&gt;"",H15-G15,"")</f>
        <v/>
      </c>
      <c r="J15" s="84">
        <f>IF(B15="","",IF(C15&gt;1,(C15-1)*VLOOKUP(B15,'Master Data'!$A$7:$E$14,5,FALSE),0))</f>
        <v/>
      </c>
      <c r="L15" s="6" t="inlineStr"/>
    </row>
    <row r="16" ht="30.75" customHeight="1" s="42">
      <c r="A16" s="81" t="n">
        <v>2</v>
      </c>
      <c r="B16" s="82" t="inlineStr">
        <is>
          <t>Sandpiper GC</t>
        </is>
      </c>
      <c r="C16" s="83" t="n">
        <v>2</v>
      </c>
      <c r="D16" s="84">
        <f>IF(B16="","",VLOOKUP(B16,'Master Data'!$A$7:$C$14,2,FALSE))</f>
        <v/>
      </c>
      <c r="E16" s="84">
        <f>IF(B16="","",VLOOKUP(B16,'Master Data'!$A$7:$C$14,3,FALSE))</f>
        <v/>
      </c>
      <c r="F16" s="84">
        <f>IF(E16&lt;&gt;"",E16-D16,"")</f>
        <v/>
      </c>
      <c r="G16" s="84">
        <f>IF(B16="","",C16*D16)</f>
        <v/>
      </c>
      <c r="H16" s="84">
        <f>IF(B16="","",C16*E16)</f>
        <v/>
      </c>
      <c r="I16" s="84">
        <f>IF(H16&lt;&gt;"",H16-G16,"")</f>
        <v/>
      </c>
      <c r="J16" s="84">
        <f>IF(B16="","",IF(C16&gt;1,(C16-1)*VLOOKUP(B16,'Master Data'!$A$7:$E$14,5,FALSE),0))</f>
        <v/>
      </c>
      <c r="L16" s="6" t="inlineStr"/>
    </row>
    <row r="17" ht="30.75" customHeight="1" s="42">
      <c r="A17" s="81" t="n">
        <v>3</v>
      </c>
      <c r="B17" s="82" t="inlineStr">
        <is>
          <t>Hidden Valley GC</t>
        </is>
      </c>
      <c r="C17" s="83" t="n">
        <v>1</v>
      </c>
      <c r="D17" s="84">
        <f>IF(B17="","",VLOOKUP(B17,'Master Data'!$A$7:$C$14,2,FALSE))</f>
        <v/>
      </c>
      <c r="E17" s="84">
        <f>IF(B17="","",VLOOKUP(B17,'Master Data'!$A$7:$C$14,3,FALSE))</f>
        <v/>
      </c>
      <c r="F17" s="84">
        <f>IF(E17&lt;&gt;"",E17-D17,"")</f>
        <v/>
      </c>
      <c r="G17" s="84">
        <f>IF(B17="","",C17*D17)</f>
        <v/>
      </c>
      <c r="H17" s="84">
        <f>IF(B17="","",C17*E17)</f>
        <v/>
      </c>
      <c r="I17" s="84">
        <f>IF(H17&lt;&gt;"",H17-G17,"")</f>
        <v/>
      </c>
      <c r="J17" s="84">
        <f>IF(B17="","",IF(C17&gt;1,(C17-1)*VLOOKUP(B17,'Master Data'!$A$7:$E$14,5,FALSE),0))</f>
        <v/>
      </c>
      <c r="L17" s="6" t="inlineStr"/>
    </row>
    <row r="18">
      <c r="A18" s="81" t="n">
        <v>4</v>
      </c>
      <c r="B18" s="82" t="n"/>
      <c r="C18" s="83" t="n"/>
      <c r="D18" s="84">
        <f>IF(B18="","",VLOOKUP(B18,'Master Data'!$A$7:$C$14,2,FALSE))</f>
        <v/>
      </c>
      <c r="E18" s="84">
        <f>IF(B18="","",VLOOKUP(B18,'Master Data'!$A$7:$C$14,3,FALSE))</f>
        <v/>
      </c>
      <c r="F18" s="84">
        <f>IF(E18&lt;&gt;"",E18-D18,"")</f>
        <v/>
      </c>
      <c r="G18" s="84">
        <f>IF(B18="","",C18*D18)</f>
        <v/>
      </c>
      <c r="H18" s="84">
        <f>IF(B18="","",C18*E18)</f>
        <v/>
      </c>
      <c r="I18" s="84">
        <f>IF(H18&lt;&gt;"",H18-G18,"")</f>
        <v/>
      </c>
      <c r="J18" s="84">
        <f>IF(B18="","",IF(C18&gt;1,(C18-1)*VLOOKUP(B18,'Master Data'!$A$7:$E$14,5,FALSE),0))</f>
        <v/>
      </c>
      <c r="L18" s="6" t="inlineStr"/>
    </row>
    <row r="19">
      <c r="A19" s="81" t="n">
        <v>5</v>
      </c>
      <c r="B19" s="82" t="n"/>
      <c r="C19" s="83" t="n"/>
      <c r="D19" s="84">
        <f>IF(B19="","",VLOOKUP(B19,'Master Data'!$A$7:$C$14,2,FALSE))</f>
        <v/>
      </c>
      <c r="E19" s="84">
        <f>IF(B19="","",VLOOKUP(B19,'Master Data'!$A$7:$C$14,3,FALSE))</f>
        <v/>
      </c>
      <c r="F19" s="84">
        <f>IF(E19&lt;&gt;"",E19-D19,"")</f>
        <v/>
      </c>
      <c r="G19" s="84">
        <f>IF(B19="","",C19*D19)</f>
        <v/>
      </c>
      <c r="H19" s="84">
        <f>IF(B19="","",C19*E19)</f>
        <v/>
      </c>
      <c r="I19" s="84">
        <f>IF(H19&lt;&gt;"",H19-G19,"")</f>
        <v/>
      </c>
      <c r="J19" s="84">
        <f>IF(B19="","",IF(C19&gt;1,(C19-1)*VLOOKUP(B19,'Master Data'!$A$7:$E$14,5,FALSE),0))</f>
        <v/>
      </c>
      <c r="L19" s="6" t="inlineStr"/>
    </row>
    <row r="20">
      <c r="A20" s="85" t="inlineStr">
        <is>
          <t>SUBTOTAL</t>
        </is>
      </c>
      <c r="B20" s="86" t="n"/>
      <c r="C20" s="86" t="n"/>
      <c r="D20" s="86" t="n"/>
      <c r="E20" s="86" t="n"/>
      <c r="F20" s="87" t="n"/>
      <c r="G20" s="88">
        <f>SUM(G15:G19)</f>
        <v/>
      </c>
      <c r="H20" s="88">
        <f>SUM(H15:H19)</f>
        <v/>
      </c>
      <c r="I20" s="88">
        <f>SUM(I15:I19)</f>
        <v/>
      </c>
      <c r="J20" s="88">
        <f>SUM(J15:J19)</f>
        <v/>
      </c>
      <c r="L20" s="6" t="inlineStr"/>
    </row>
    <row r="22">
      <c r="A22" s="31" t="inlineStr">
        <is>
          <t>🏨 HOTEL (1인 1박)</t>
        </is>
      </c>
      <c r="B22" s="44" t="n"/>
      <c r="C22" s="44" t="n"/>
      <c r="D22" s="44" t="n"/>
      <c r="E22" s="44" t="n"/>
      <c r="F22" s="44" t="n"/>
      <c r="G22" s="44" t="n"/>
      <c r="H22" s="44" t="n"/>
      <c r="I22" s="44" t="n"/>
      <c r="J22" s="44" t="n"/>
      <c r="K22" s="44" t="n"/>
      <c r="L22" s="45" t="n"/>
    </row>
    <row r="23" ht="32.25" customHeight="1" s="42">
      <c r="A23" s="2" t="inlineStr">
        <is>
          <t>#</t>
        </is>
      </c>
      <c r="B23" s="2" t="inlineStr">
        <is>
          <t>Item (Select ▼)</t>
        </is>
      </c>
      <c r="C23" s="2" t="inlineStr">
        <is>
          <t>Qty</t>
        </is>
      </c>
      <c r="D23" s="2" t="inlineStr">
        <is>
          <t>Cost/unit</t>
        </is>
      </c>
      <c r="E23" s="2" t="inlineStr">
        <is>
          <t>Sell/unit</t>
        </is>
      </c>
      <c r="F23" s="2" t="inlineStr">
        <is>
          <t>Margin/u</t>
        </is>
      </c>
      <c r="G23" s="2" t="inlineStr">
        <is>
          <t>Total Cost</t>
        </is>
      </c>
      <c r="H23" s="2" t="inlineStr">
        <is>
          <t>Total Sell</t>
        </is>
      </c>
      <c r="I23" s="2" t="inlineStr">
        <is>
          <t>Total Margin</t>
        </is>
      </c>
      <c r="J23" s="97" t="n"/>
      <c r="K23" s="98" t="inlineStr">
        <is>
          <t>Room Type</t>
        </is>
      </c>
      <c r="L23" s="98" t="inlineStr">
        <is>
          <t>Beds/Room</t>
        </is>
      </c>
    </row>
    <row r="24">
      <c r="A24" s="81" t="n">
        <v>1</v>
      </c>
      <c r="B24" s="82" t="inlineStr">
        <is>
          <t>Beverly Wilshire (5★) / Same Tier</t>
        </is>
      </c>
      <c r="C24" s="83" t="n">
        <v>3</v>
      </c>
      <c r="D24" s="84">
        <f>IF(B24="","",VLOOKUP(B24,'Master Data'!$A$19:$C$24,2,FALSE))</f>
        <v/>
      </c>
      <c r="E24" s="84">
        <f>IF(B24="","",VLOOKUP(B24,'Master Data'!$A$19:$C$24,3,FALSE))</f>
        <v/>
      </c>
      <c r="F24" s="84">
        <f>IF(E24&lt;&gt;"",E24-D24,"")</f>
        <v/>
      </c>
      <c r="G24" s="84">
        <f>IF(B24="","",C24*D24)</f>
        <v/>
      </c>
      <c r="H24" s="84">
        <f>IF(B24="","",C24*E24)</f>
        <v/>
      </c>
      <c r="I24" s="84">
        <f>IF(H24&lt;&gt;"",H24-G24,"")</f>
        <v/>
      </c>
      <c r="J24" s="79" t="n"/>
      <c r="K24" s="50" t="inlineStr">
        <is>
          <t>2인1실</t>
        </is>
      </c>
      <c r="L24" s="54" t="n">
        <v>2</v>
      </c>
    </row>
    <row r="25">
      <c r="A25" s="81" t="n">
        <v>2</v>
      </c>
      <c r="B25" s="82" t="n"/>
      <c r="C25" s="83" t="n"/>
      <c r="D25" s="84">
        <f>IF(B25="","",VLOOKUP(B25,'Master Data'!$A$19:$C$24,2,FALSE))</f>
        <v/>
      </c>
      <c r="E25" s="84">
        <f>IF(B25="","",VLOOKUP(B25,'Master Data'!$A$19:$C$24,3,FALSE))</f>
        <v/>
      </c>
      <c r="F25" s="84">
        <f>IF(E25&lt;&gt;"",E25-D25,"")</f>
        <v/>
      </c>
      <c r="G25" s="84">
        <f>IF(B25="","",C25*D25)</f>
        <v/>
      </c>
      <c r="H25" s="84">
        <f>IF(B25="","",C25*E25)</f>
        <v/>
      </c>
      <c r="I25" s="84">
        <f>IF(H25&lt;&gt;"",H25-G25,"")</f>
        <v/>
      </c>
      <c r="J25" s="79" t="n"/>
      <c r="K25" s="50" t="inlineStr">
        <is>
          <t>2인1실</t>
        </is>
      </c>
      <c r="L25" s="54" t="n">
        <v>2</v>
      </c>
    </row>
    <row r="26">
      <c r="A26" s="81" t="n">
        <v>3</v>
      </c>
      <c r="B26" s="82" t="n"/>
      <c r="C26" s="83" t="n"/>
      <c r="D26" s="84">
        <f>IF(B26="","",VLOOKUP(B26,'Master Data'!$A$19:$C$24,2,FALSE))</f>
        <v/>
      </c>
      <c r="E26" s="84">
        <f>IF(B26="","",VLOOKUP(B26,'Master Data'!$A$19:$C$24,3,FALSE))</f>
        <v/>
      </c>
      <c r="F26" s="84">
        <f>IF(E26&lt;&gt;"",E26-D26,"")</f>
        <v/>
      </c>
      <c r="G26" s="84">
        <f>IF(B26="","",C26*D26)</f>
        <v/>
      </c>
      <c r="H26" s="84">
        <f>IF(B26="","",C26*E26)</f>
        <v/>
      </c>
      <c r="I26" s="84">
        <f>IF(H26&lt;&gt;"",H26-G26,"")</f>
        <v/>
      </c>
      <c r="J26" s="79" t="n"/>
      <c r="K26" s="50" t="inlineStr">
        <is>
          <t>2인1실</t>
        </is>
      </c>
      <c r="L26" s="54" t="n">
        <v>2</v>
      </c>
    </row>
    <row r="27">
      <c r="A27" s="85" t="inlineStr">
        <is>
          <t>SUBTOTAL</t>
        </is>
      </c>
      <c r="B27" s="86" t="n"/>
      <c r="C27" s="86" t="n"/>
      <c r="D27" s="86" t="n"/>
      <c r="E27" s="86" t="n"/>
      <c r="F27" s="87" t="n"/>
      <c r="G27" s="88">
        <f>SUM(G24:G26)</f>
        <v/>
      </c>
      <c r="H27" s="88">
        <f>SUM(H24:H26)</f>
        <v/>
      </c>
      <c r="I27" s="88">
        <f>SUM(I24:I26)</f>
        <v/>
      </c>
      <c r="J27" s="99" t="n"/>
      <c r="L27" s="6" t="inlineStr"/>
    </row>
    <row r="29">
      <c r="A29" s="31" t="inlineStr">
        <is>
          <t>🚐 TRANSPORT (1인 기준)</t>
        </is>
      </c>
      <c r="B29" s="44" t="n"/>
      <c r="C29" s="44" t="n"/>
      <c r="D29" s="44" t="n"/>
      <c r="E29" s="44" t="n"/>
      <c r="F29" s="44" t="n"/>
      <c r="G29" s="44" t="n"/>
      <c r="H29" s="44" t="n"/>
      <c r="I29" s="44" t="n"/>
      <c r="J29" s="44" t="n"/>
      <c r="K29" s="44" t="n"/>
      <c r="L29" s="45" t="n"/>
    </row>
    <row r="30" ht="32.25" customHeight="1" s="42">
      <c r="A30" s="2" t="inlineStr">
        <is>
          <t>#</t>
        </is>
      </c>
      <c r="B30" s="2" t="inlineStr">
        <is>
          <t>Item (Select ▼)</t>
        </is>
      </c>
      <c r="C30" s="2" t="inlineStr">
        <is>
          <t>Qty</t>
        </is>
      </c>
      <c r="D30" s="2" t="inlineStr">
        <is>
          <t>Cost/unit</t>
        </is>
      </c>
      <c r="E30" s="2" t="inlineStr">
        <is>
          <t>Sell/unit</t>
        </is>
      </c>
      <c r="F30" s="2" t="inlineStr">
        <is>
          <t>Margin/u</t>
        </is>
      </c>
      <c r="G30" s="2" t="inlineStr">
        <is>
          <t>Total Cost</t>
        </is>
      </c>
      <c r="H30" s="2" t="inlineStr">
        <is>
          <t>Total Sell</t>
        </is>
      </c>
      <c r="I30" s="2" t="inlineStr">
        <is>
          <t>Total Margin</t>
        </is>
      </c>
      <c r="J30" s="97" t="n"/>
      <c r="K30" s="98" t="inlineStr">
        <is>
          <t>Vehicle Type</t>
        </is>
      </c>
      <c r="L30" s="98" t="inlineStr">
        <is>
          <t>Pax Capacity</t>
        </is>
      </c>
    </row>
    <row r="31" ht="47.25" customHeight="1" s="42">
      <c r="A31" s="81" t="n">
        <v>1</v>
      </c>
      <c r="B31" s="82" t="inlineStr">
        <is>
          <t>Driver/Guide + Van (일당)</t>
        </is>
      </c>
      <c r="C31" s="83" t="n">
        <v>3</v>
      </c>
      <c r="D31" s="84">
        <f>IF(B31="","",VLOOKUP(B31,'Master Data'!$A$28:$C$34,2,FALSE))</f>
        <v/>
      </c>
      <c r="E31" s="84">
        <f>IF(B31="","",VLOOKUP(B31,'Master Data'!$A$28:$C$34,3,FALSE))</f>
        <v/>
      </c>
      <c r="F31" s="84">
        <f>IF(E31&lt;&gt;"",E31-D31,"")</f>
        <v/>
      </c>
      <c r="G31" s="84">
        <f>IF(B31="","",C31*D31)</f>
        <v/>
      </c>
      <c r="H31" s="84">
        <f>IF(B31="","",C31*E31)</f>
        <v/>
      </c>
      <c r="I31" s="84">
        <f>IF(H31&lt;&gt;"",H31-G31,"")</f>
        <v/>
      </c>
      <c r="J31" s="79" t="n"/>
      <c r="K31" s="50" t="inlineStr">
        <is>
          <t>Full-size Van</t>
        </is>
      </c>
      <c r="L31" s="55" t="inlineStr">
        <is>
          <t>7-8</t>
        </is>
      </c>
    </row>
    <row r="32">
      <c r="A32" s="81" t="n">
        <v>2</v>
      </c>
      <c r="B32" s="82" t="n"/>
      <c r="C32" s="83" t="n"/>
      <c r="D32" s="84">
        <f>IF(B32="","",VLOOKUP(B32,'Master Data'!$A$28:$C$34,2,FALSE))</f>
        <v/>
      </c>
      <c r="E32" s="84">
        <f>IF(B32="","",VLOOKUP(B32,'Master Data'!$A$28:$C$34,3,FALSE))</f>
        <v/>
      </c>
      <c r="F32" s="84">
        <f>IF(E32&lt;&gt;"",E32-D32,"")</f>
        <v/>
      </c>
      <c r="G32" s="84">
        <f>IF(B32="","",C32*D32)</f>
        <v/>
      </c>
      <c r="H32" s="84">
        <f>IF(B32="","",C32*E32)</f>
        <v/>
      </c>
      <c r="I32" s="84">
        <f>IF(H32&lt;&gt;"",H32-G32,"")</f>
        <v/>
      </c>
      <c r="J32" s="79" t="n"/>
      <c r="K32" s="50" t="inlineStr"/>
      <c r="L32" s="55" t="inlineStr"/>
    </row>
    <row r="33">
      <c r="A33" s="81" t="n">
        <v>3</v>
      </c>
      <c r="B33" s="82" t="n"/>
      <c r="C33" s="83" t="n"/>
      <c r="D33" s="84">
        <f>IF(B33="","",VLOOKUP(B33,'Master Data'!$A$28:$C$34,2,FALSE))</f>
        <v/>
      </c>
      <c r="E33" s="84">
        <f>IF(B33="","",VLOOKUP(B33,'Master Data'!$A$28:$C$34,3,FALSE))</f>
        <v/>
      </c>
      <c r="F33" s="84">
        <f>IF(E33&lt;&gt;"",E33-D33,"")</f>
        <v/>
      </c>
      <c r="G33" s="84">
        <f>IF(B33="","",C33*D33)</f>
        <v/>
      </c>
      <c r="H33" s="84">
        <f>IF(B33="","",C33*E33)</f>
        <v/>
      </c>
      <c r="I33" s="84">
        <f>IF(H33&lt;&gt;"",H33-G33,"")</f>
        <v/>
      </c>
      <c r="J33" s="79" t="n"/>
      <c r="K33" s="50" t="inlineStr"/>
      <c r="L33" s="55" t="inlineStr"/>
    </row>
    <row r="34">
      <c r="A34" s="85" t="inlineStr">
        <is>
          <t>SUBTOTAL</t>
        </is>
      </c>
      <c r="B34" s="86" t="n"/>
      <c r="C34" s="86" t="n"/>
      <c r="D34" s="86" t="n"/>
      <c r="E34" s="86" t="n"/>
      <c r="F34" s="87" t="n"/>
      <c r="G34" s="88">
        <f>SUM(G31:G33)</f>
        <v/>
      </c>
      <c r="H34" s="88">
        <f>SUM(H31:H33)</f>
        <v/>
      </c>
      <c r="I34" s="88">
        <f>SUM(I31:I33)</f>
        <v/>
      </c>
      <c r="J34" s="99" t="n"/>
      <c r="K34" s="50" t="inlineStr"/>
      <c r="L34" s="55" t="inlineStr"/>
    </row>
    <row r="36">
      <c r="A36" s="31" t="inlineStr">
        <is>
          <t>🍽️ MEALS (1인 1끼)</t>
        </is>
      </c>
      <c r="B36" s="44" t="n"/>
      <c r="C36" s="44" t="n"/>
      <c r="D36" s="44" t="n"/>
      <c r="E36" s="44" t="n"/>
      <c r="F36" s="44" t="n"/>
      <c r="G36" s="44" t="n"/>
      <c r="H36" s="44" t="n"/>
      <c r="I36" s="44" t="n"/>
      <c r="J36" s="44" t="n"/>
      <c r="K36" s="44" t="n"/>
      <c r="L36" s="45" t="n"/>
    </row>
    <row r="37" ht="32.25" customHeight="1" s="42">
      <c r="A37" s="2" t="inlineStr">
        <is>
          <t>#</t>
        </is>
      </c>
      <c r="B37" s="2" t="inlineStr">
        <is>
          <t>Item (Select ▼)</t>
        </is>
      </c>
      <c r="C37" s="2" t="inlineStr">
        <is>
          <t>Qty</t>
        </is>
      </c>
      <c r="D37" s="2" t="inlineStr">
        <is>
          <t>Cost/unit</t>
        </is>
      </c>
      <c r="E37" s="2" t="inlineStr">
        <is>
          <t>Sell/unit</t>
        </is>
      </c>
      <c r="F37" s="2" t="inlineStr">
        <is>
          <t>Margin/u</t>
        </is>
      </c>
      <c r="G37" s="2" t="inlineStr">
        <is>
          <t>Total Cost</t>
        </is>
      </c>
      <c r="H37" s="2" t="inlineStr">
        <is>
          <t>Total Sell</t>
        </is>
      </c>
      <c r="I37" s="2" t="inlineStr">
        <is>
          <t>Total Margin</t>
        </is>
      </c>
      <c r="J37" s="100" t="n"/>
      <c r="K37" s="2" t="inlineStr"/>
      <c r="L37" s="2" t="inlineStr"/>
    </row>
    <row r="38">
      <c r="A38" s="81" t="n">
        <v>1</v>
      </c>
      <c r="B38" s="82" t="inlineStr">
        <is>
          <t>Breakfast (Hotel)</t>
        </is>
      </c>
      <c r="C38" s="83" t="n">
        <v>3</v>
      </c>
      <c r="D38" s="84">
        <f>IF(B38="","",VLOOKUP(B38,'Master Data'!$A$38:$C$46,2,FALSE))</f>
        <v/>
      </c>
      <c r="E38" s="84">
        <f>IF(B38="","",VLOOKUP(B38,'Master Data'!$A$38:$C$46,3,FALSE))</f>
        <v/>
      </c>
      <c r="F38" s="84">
        <f>IF(E38&lt;&gt;"",E38-D38,"")</f>
        <v/>
      </c>
      <c r="G38" s="84">
        <f>IF(B38="","",C38*D38)</f>
        <v/>
      </c>
      <c r="H38" s="84">
        <f>IF(B38="","",C38*E38)</f>
        <v/>
      </c>
      <c r="I38" s="84">
        <f>IF(H38&lt;&gt;"",H38-G38,"")</f>
        <v/>
      </c>
      <c r="J38" s="79" t="n"/>
      <c r="L38" s="6" t="inlineStr"/>
    </row>
    <row r="39">
      <c r="A39" s="81" t="n">
        <v>2</v>
      </c>
      <c r="B39" s="82" t="inlineStr">
        <is>
          <t>Lunch</t>
        </is>
      </c>
      <c r="C39" s="83" t="n">
        <v>3</v>
      </c>
      <c r="D39" s="84">
        <f>IF(B39="","",VLOOKUP(B39,'Master Data'!$A$38:$C$46,2,FALSE))</f>
        <v/>
      </c>
      <c r="E39" s="84">
        <f>IF(B39="","",VLOOKUP(B39,'Master Data'!$A$38:$C$46,3,FALSE))</f>
        <v/>
      </c>
      <c r="F39" s="84">
        <f>IF(E39&lt;&gt;"",E39-D39,"")</f>
        <v/>
      </c>
      <c r="G39" s="84">
        <f>IF(B39="","",C39*D39)</f>
        <v/>
      </c>
      <c r="H39" s="84">
        <f>IF(B39="","",C39*E39)</f>
        <v/>
      </c>
      <c r="I39" s="84">
        <f>IF(H39&lt;&gt;"",H39-G39,"")</f>
        <v/>
      </c>
      <c r="J39" s="79" t="n"/>
      <c r="L39" s="6" t="inlineStr"/>
    </row>
    <row r="40">
      <c r="A40" s="81" t="n">
        <v>3</v>
      </c>
      <c r="B40" s="82" t="inlineStr">
        <is>
          <t>Dinner (Regular)</t>
        </is>
      </c>
      <c r="C40" s="83" t="n">
        <v>3</v>
      </c>
      <c r="D40" s="84">
        <f>IF(B40="","",VLOOKUP(B40,'Master Data'!$A$38:$C$46,2,FALSE))</f>
        <v/>
      </c>
      <c r="E40" s="84">
        <f>IF(B40="","",VLOOKUP(B40,'Master Data'!$A$38:$C$46,3,FALSE))</f>
        <v/>
      </c>
      <c r="F40" s="84">
        <f>IF(E40&lt;&gt;"",E40-D40,"")</f>
        <v/>
      </c>
      <c r="G40" s="84">
        <f>IF(B40="","",C40*D40)</f>
        <v/>
      </c>
      <c r="H40" s="84">
        <f>IF(B40="","",C40*E40)</f>
        <v/>
      </c>
      <c r="I40" s="84">
        <f>IF(H40&lt;&gt;"",H40-G40,"")</f>
        <v/>
      </c>
      <c r="J40" s="79" t="n"/>
      <c r="L40" s="6" t="inlineStr"/>
    </row>
    <row r="41">
      <c r="A41" s="81" t="n">
        <v>4</v>
      </c>
      <c r="B41" s="82" t="inlineStr">
        <is>
          <t>Exclusive Dinner (Michelin/Fine)</t>
        </is>
      </c>
      <c r="C41" s="83" t="n">
        <v>2</v>
      </c>
      <c r="D41" s="84">
        <f>IF(B41="","",VLOOKUP(B41,'Master Data'!$A$38:$C$46,2,FALSE))</f>
        <v/>
      </c>
      <c r="E41" s="84">
        <f>IF(B41="","",VLOOKUP(B41,'Master Data'!$A$38:$C$46,3,FALSE))</f>
        <v/>
      </c>
      <c r="F41" s="84">
        <f>IF(E41&lt;&gt;"",E41-D41,"")</f>
        <v/>
      </c>
      <c r="G41" s="84">
        <f>IF(B41="","",C41*D41)</f>
        <v/>
      </c>
      <c r="H41" s="84">
        <f>IF(B41="","",C41*E41)</f>
        <v/>
      </c>
      <c r="I41" s="84">
        <f>IF(H41&lt;&gt;"",H41-G41,"")</f>
        <v/>
      </c>
      <c r="J41" s="79" t="n"/>
      <c r="L41" s="6" t="inlineStr"/>
    </row>
    <row r="42">
      <c r="A42" s="81" t="n">
        <v>5</v>
      </c>
      <c r="B42" s="82" t="n"/>
      <c r="C42" s="83" t="n"/>
      <c r="D42" s="84">
        <f>IF(B42="","",VLOOKUP(B42,'Master Data'!$A$38:$C$46,2,FALSE))</f>
        <v/>
      </c>
      <c r="E42" s="84">
        <f>IF(B42="","",VLOOKUP(B42,'Master Data'!$A$38:$C$46,3,FALSE))</f>
        <v/>
      </c>
      <c r="F42" s="84">
        <f>IF(E42&lt;&gt;"",E42-D42,"")</f>
        <v/>
      </c>
      <c r="G42" s="84">
        <f>IF(B42="","",C42*D42)</f>
        <v/>
      </c>
      <c r="H42" s="84">
        <f>IF(B42="","",C42*E42)</f>
        <v/>
      </c>
      <c r="I42" s="84">
        <f>IF(H42&lt;&gt;"",H42-G42,"")</f>
        <v/>
      </c>
      <c r="J42" s="79" t="n"/>
      <c r="L42" s="6" t="inlineStr"/>
    </row>
    <row r="43">
      <c r="A43" s="85" t="inlineStr">
        <is>
          <t>SUBTOTAL</t>
        </is>
      </c>
      <c r="B43" s="86" t="n"/>
      <c r="C43" s="86" t="n"/>
      <c r="D43" s="86" t="n"/>
      <c r="E43" s="86" t="n"/>
      <c r="F43" s="87" t="n"/>
      <c r="G43" s="88">
        <f>SUM(G38:G42)</f>
        <v/>
      </c>
      <c r="H43" s="88">
        <f>SUM(H38:H42)</f>
        <v/>
      </c>
      <c r="I43" s="88">
        <f>SUM(I38:I42)</f>
        <v/>
      </c>
      <c r="J43" s="99" t="n"/>
      <c r="L43" s="6" t="inlineStr"/>
    </row>
    <row r="45">
      <c r="A45" s="31" t="inlineStr">
        <is>
          <t>📦 OTHER (1인 1일)</t>
        </is>
      </c>
      <c r="B45" s="44" t="n"/>
      <c r="C45" s="44" t="n"/>
      <c r="D45" s="44" t="n"/>
      <c r="E45" s="44" t="n"/>
      <c r="F45" s="44" t="n"/>
      <c r="G45" s="44" t="n"/>
      <c r="H45" s="44" t="n"/>
      <c r="I45" s="44" t="n"/>
      <c r="J45" s="44" t="n"/>
      <c r="K45" s="44" t="n"/>
      <c r="L45" s="45" t="n"/>
    </row>
    <row r="46" ht="32.25" customHeight="1" s="42">
      <c r="A46" s="2" t="inlineStr">
        <is>
          <t>#</t>
        </is>
      </c>
      <c r="B46" s="2" t="inlineStr">
        <is>
          <t>Item (Select ▼)</t>
        </is>
      </c>
      <c r="C46" s="2" t="inlineStr">
        <is>
          <t>Qty</t>
        </is>
      </c>
      <c r="D46" s="2" t="inlineStr">
        <is>
          <t>Cost/unit</t>
        </is>
      </c>
      <c r="E46" s="2" t="inlineStr">
        <is>
          <t>Sell/unit</t>
        </is>
      </c>
      <c r="F46" s="2" t="inlineStr">
        <is>
          <t>Margin/u</t>
        </is>
      </c>
      <c r="G46" s="2" t="inlineStr">
        <is>
          <t>Total Cost</t>
        </is>
      </c>
      <c r="H46" s="2" t="inlineStr">
        <is>
          <t>Total Sell</t>
        </is>
      </c>
      <c r="I46" s="2" t="inlineStr">
        <is>
          <t>Total Margin</t>
        </is>
      </c>
      <c r="J46" s="100" t="n"/>
      <c r="K46" s="2" t="inlineStr"/>
      <c r="L46" s="2" t="inlineStr"/>
    </row>
    <row r="47">
      <c r="A47" s="81" t="n">
        <v>1</v>
      </c>
      <c r="B47" s="82" t="inlineStr">
        <is>
          <t>Insurance / Tips / Contingency</t>
        </is>
      </c>
      <c r="C47" s="83" t="n">
        <v>4</v>
      </c>
      <c r="D47" s="84">
        <f>IF(B47="","",VLOOKUP(B47,'Master Data'!$A$50:$C$56,2,FALSE))</f>
        <v/>
      </c>
      <c r="E47" s="84">
        <f>IF(B47="","",VLOOKUP(B47,'Master Data'!$A$50:$C$56,3,FALSE))</f>
        <v/>
      </c>
      <c r="F47" s="84">
        <f>IF(E47&lt;&gt;"",E47-D47,"")</f>
        <v/>
      </c>
      <c r="G47" s="84">
        <f>IF(B47="","",C47*D47)</f>
        <v/>
      </c>
      <c r="H47" s="84">
        <f>IF(B47="","",C47*E47)</f>
        <v/>
      </c>
      <c r="I47" s="84">
        <f>IF(H47&lt;&gt;"",H47-G47,"")</f>
        <v/>
      </c>
      <c r="J47" s="79" t="n"/>
      <c r="L47" s="6" t="inlineStr"/>
    </row>
    <row r="48">
      <c r="A48" s="81" t="n">
        <v>2</v>
      </c>
      <c r="B48" s="82" t="n"/>
      <c r="C48" s="83" t="n"/>
      <c r="D48" s="84">
        <f>IF(B48="","",VLOOKUP(B48,'Master Data'!$A$50:$C$56,2,FALSE))</f>
        <v/>
      </c>
      <c r="E48" s="84">
        <f>IF(B48="","",VLOOKUP(B48,'Master Data'!$A$50:$C$56,3,FALSE))</f>
        <v/>
      </c>
      <c r="F48" s="84">
        <f>IF(E48&lt;&gt;"",E48-D48,"")</f>
        <v/>
      </c>
      <c r="G48" s="84">
        <f>IF(B48="","",C48*D48)</f>
        <v/>
      </c>
      <c r="H48" s="84">
        <f>IF(B48="","",C48*E48)</f>
        <v/>
      </c>
      <c r="I48" s="84">
        <f>IF(H48&lt;&gt;"",H48-G48,"")</f>
        <v/>
      </c>
      <c r="J48" s="79" t="n"/>
      <c r="L48" s="6" t="inlineStr"/>
    </row>
    <row r="49">
      <c r="A49" s="81" t="n">
        <v>3</v>
      </c>
      <c r="B49" s="82" t="n"/>
      <c r="C49" s="83" t="n"/>
      <c r="D49" s="84">
        <f>IF(B49="","",VLOOKUP(B49,'Master Data'!$A$50:$C$56,2,FALSE))</f>
        <v/>
      </c>
      <c r="E49" s="84">
        <f>IF(B49="","",VLOOKUP(B49,'Master Data'!$A$50:$C$56,3,FALSE))</f>
        <v/>
      </c>
      <c r="F49" s="84">
        <f>IF(E49&lt;&gt;"",E49-D49,"")</f>
        <v/>
      </c>
      <c r="G49" s="84">
        <f>IF(B49="","",C49*D49)</f>
        <v/>
      </c>
      <c r="H49" s="84">
        <f>IF(B49="","",C49*E49)</f>
        <v/>
      </c>
      <c r="I49" s="84">
        <f>IF(H49&lt;&gt;"",H49-G49,"")</f>
        <v/>
      </c>
      <c r="J49" s="79" t="n"/>
      <c r="L49" s="6" t="inlineStr"/>
    </row>
    <row r="50">
      <c r="A50" s="85" t="inlineStr">
        <is>
          <t>SUBTOTAL</t>
        </is>
      </c>
      <c r="B50" s="86" t="n"/>
      <c r="C50" s="86" t="n"/>
      <c r="D50" s="86" t="n"/>
      <c r="E50" s="86" t="n"/>
      <c r="F50" s="87" t="n"/>
      <c r="G50" s="88">
        <f>SUM(G47:G49)</f>
        <v/>
      </c>
      <c r="H50" s="88">
        <f>SUM(H47:H49)</f>
        <v/>
      </c>
      <c r="I50" s="88">
        <f>SUM(I47:I49)</f>
        <v/>
      </c>
      <c r="J50" s="99" t="n"/>
      <c r="L50" s="6" t="inlineStr"/>
    </row>
    <row r="52">
      <c r="A52" s="48" t="inlineStr">
        <is>
          <t>🎯 ACTIVITIES &amp; EXPERIENCES (1인 1회)</t>
        </is>
      </c>
    </row>
    <row r="53">
      <c r="A53" s="52" t="inlineStr">
        <is>
          <t>#</t>
        </is>
      </c>
      <c r="B53" s="52" t="inlineStr">
        <is>
          <t>Activity (Select ▼)</t>
        </is>
      </c>
      <c r="C53" s="52" t="inlineStr">
        <is>
          <t>Qty</t>
        </is>
      </c>
      <c r="D53" s="52" t="inlineStr">
        <is>
          <t>Cost/unit</t>
        </is>
      </c>
      <c r="E53" s="52" t="inlineStr">
        <is>
          <t>Sell/unit</t>
        </is>
      </c>
      <c r="F53" s="52" t="inlineStr">
        <is>
          <t>Margin/u</t>
        </is>
      </c>
      <c r="G53" s="52" t="inlineStr">
        <is>
          <t>Total Cost</t>
        </is>
      </c>
      <c r="H53" s="52" t="inlineStr">
        <is>
          <t>Total Sell</t>
        </is>
      </c>
      <c r="I53" s="52" t="inlineStr">
        <is>
          <t>Total Margin</t>
        </is>
      </c>
      <c r="J53" s="98" t="inlineStr">
        <is>
          <t>Per Group</t>
        </is>
      </c>
      <c r="K53" s="98" t="inlineStr">
        <is>
          <t>Group Size</t>
        </is>
      </c>
      <c r="L53" s="98" t="inlineStr">
        <is>
          <t>Notes</t>
        </is>
      </c>
    </row>
    <row r="54">
      <c r="A54" s="81" t="n">
        <v>1</v>
      </c>
      <c r="B54" s="82" t="inlineStr">
        <is>
          <t>NBA/MLB Game (Ticket)</t>
        </is>
      </c>
      <c r="C54" s="83" t="n">
        <v>1</v>
      </c>
      <c r="D54" s="84">
        <f>IF(B54="","",VLOOKUP(B54,'Master Data'!$A$86:$C$94,2,FALSE))</f>
        <v/>
      </c>
      <c r="E54" s="84">
        <f>IF(B54="","",VLOOKUP(B54,'Master Data'!$A$86:$C$94,3,FALSE))</f>
        <v/>
      </c>
      <c r="F54" s="84">
        <f>IF(E54&lt;&gt;"",E54-D54,"")</f>
        <v/>
      </c>
      <c r="G54" s="84">
        <f>IF(B54="","",C54*D54)</f>
        <v/>
      </c>
      <c r="H54" s="84">
        <f>IF(B54="","",C54*E54)</f>
        <v/>
      </c>
      <c r="I54" s="84">
        <f>IF(H54&lt;&gt;"",H54-G54,"")</f>
        <v/>
      </c>
      <c r="J54" s="81" t="n"/>
      <c r="K54" s="50" t="n"/>
      <c r="L54" s="49" t="n"/>
    </row>
    <row r="55">
      <c r="A55" s="81" t="n">
        <v>2</v>
      </c>
      <c r="B55" s="82" t="inlineStr">
        <is>
          <t>Sports Bar Experience</t>
        </is>
      </c>
      <c r="C55" s="83" t="n">
        <v>1</v>
      </c>
      <c r="D55" s="84">
        <f>IF(B55="","",VLOOKUP(B55,'Master Data'!$A$86:$C$94,2,FALSE))</f>
        <v/>
      </c>
      <c r="E55" s="84">
        <f>IF(B55="","",VLOOKUP(B55,'Master Data'!$A$86:$C$94,3,FALSE))</f>
        <v/>
      </c>
      <c r="F55" s="84">
        <f>IF(E55&lt;&gt;"",E55-D55,"")</f>
        <v/>
      </c>
      <c r="G55" s="84">
        <f>IF(B55="","",C55*D55)</f>
        <v/>
      </c>
      <c r="H55" s="84">
        <f>IF(B55="","",C55*E55)</f>
        <v/>
      </c>
      <c r="I55" s="84">
        <f>IF(H55&lt;&gt;"",H55-G55,"")</f>
        <v/>
      </c>
      <c r="J55" s="81" t="n"/>
      <c r="K55" s="50" t="n"/>
      <c r="L55" s="49" t="n"/>
    </row>
    <row r="56">
      <c r="A56" s="81" t="n">
        <v>3</v>
      </c>
      <c r="B56" s="82" t="n"/>
      <c r="C56" s="83" t="n"/>
      <c r="D56" s="84">
        <f>IF(B56="","",VLOOKUP(B56,'Master Data'!$A$86:$C$94,2,FALSE))</f>
        <v/>
      </c>
      <c r="E56" s="84">
        <f>IF(B56="","",VLOOKUP(B56,'Master Data'!$A$86:$C$94,3,FALSE))</f>
        <v/>
      </c>
      <c r="F56" s="84">
        <f>IF(E56&lt;&gt;"",E56-D56,"")</f>
        <v/>
      </c>
      <c r="G56" s="84">
        <f>IF(B56="","",C56*D56)</f>
        <v/>
      </c>
      <c r="H56" s="84">
        <f>IF(B56="","",C56*E56)</f>
        <v/>
      </c>
      <c r="I56" s="84">
        <f>IF(H56&lt;&gt;"",H56-G56,"")</f>
        <v/>
      </c>
      <c r="J56" s="81" t="n"/>
      <c r="K56" s="50" t="n"/>
      <c r="L56" s="49" t="n"/>
    </row>
    <row r="57">
      <c r="A57" s="81" t="n">
        <v>4</v>
      </c>
      <c r="B57" s="82" t="n"/>
      <c r="C57" s="83" t="n"/>
      <c r="D57" s="84">
        <f>IF(B57="","",VLOOKUP(B57,'Master Data'!$A$86:$C$94,2,FALSE))</f>
        <v/>
      </c>
      <c r="E57" s="84">
        <f>IF(B57="","",VLOOKUP(B57,'Master Data'!$A$86:$C$94,3,FALSE))</f>
        <v/>
      </c>
      <c r="F57" s="84">
        <f>IF(E57&lt;&gt;"",E57-D57,"")</f>
        <v/>
      </c>
      <c r="G57" s="84">
        <f>IF(B57="","",C57*D57)</f>
        <v/>
      </c>
      <c r="H57" s="84">
        <f>IF(B57="","",C57*E57)</f>
        <v/>
      </c>
      <c r="I57" s="84">
        <f>IF(H57&lt;&gt;"",H57-G57,"")</f>
        <v/>
      </c>
      <c r="J57" s="81" t="n"/>
      <c r="K57" s="50" t="n"/>
      <c r="L57" s="49" t="n"/>
    </row>
    <row r="58">
      <c r="A58" s="81" t="n">
        <v>5</v>
      </c>
      <c r="B58" s="82" t="n"/>
      <c r="C58" s="83" t="n"/>
      <c r="D58" s="84">
        <f>IF(B58="","",VLOOKUP(B58,'Master Data'!$A$86:$C$94,2,FALSE))</f>
        <v/>
      </c>
      <c r="E58" s="84">
        <f>IF(B58="","",VLOOKUP(B58,'Master Data'!$A$86:$C$94,3,FALSE))</f>
        <v/>
      </c>
      <c r="F58" s="84">
        <f>IF(E58&lt;&gt;"",E58-D58,"")</f>
        <v/>
      </c>
      <c r="G58" s="84">
        <f>IF(B58="","",C58*D58)</f>
        <v/>
      </c>
      <c r="H58" s="84">
        <f>IF(B58="","",C58*E58)</f>
        <v/>
      </c>
      <c r="I58" s="84">
        <f>IF(H58&lt;&gt;"",H58-G58,"")</f>
        <v/>
      </c>
      <c r="J58" s="81" t="n"/>
      <c r="K58" s="50" t="n"/>
      <c r="L58" s="49" t="n"/>
    </row>
    <row r="59">
      <c r="A59" s="81" t="n">
        <v>6</v>
      </c>
      <c r="B59" s="82" t="n"/>
      <c r="C59" s="83" t="n"/>
      <c r="D59" s="84">
        <f>IF(B59="","",VLOOKUP(B59,'Master Data'!$A$86:$C$94,2,FALSE))</f>
        <v/>
      </c>
      <c r="E59" s="84">
        <f>IF(B59="","",VLOOKUP(B59,'Master Data'!$A$86:$C$94,3,FALSE))</f>
        <v/>
      </c>
      <c r="F59" s="84">
        <f>IF(E59&lt;&gt;"",E59-D59,"")</f>
        <v/>
      </c>
      <c r="G59" s="84">
        <f>IF(B59="","",C59*D59)</f>
        <v/>
      </c>
      <c r="H59" s="84">
        <f>IF(B59="","",C59*E59)</f>
        <v/>
      </c>
      <c r="I59" s="84">
        <f>IF(H59&lt;&gt;"",H59-G59,"")</f>
        <v/>
      </c>
      <c r="J59" s="81" t="n"/>
      <c r="K59" s="50" t="n"/>
      <c r="L59" s="49" t="n"/>
    </row>
    <row r="60">
      <c r="A60" s="81" t="n">
        <v>7</v>
      </c>
      <c r="B60" s="82" t="n"/>
      <c r="C60" s="83" t="n">
        <v>1</v>
      </c>
      <c r="D60" s="84">
        <f>IF(B60="","",VLOOKUP(B60,'Master Data'!$A$86:$C$94,2,FALSE))</f>
        <v/>
      </c>
      <c r="E60" s="84">
        <f>IF(B60="","",VLOOKUP(B60,'Master Data'!$A$86:$C$94,3,FALSE))</f>
        <v/>
      </c>
      <c r="F60" s="84">
        <f>IF(E60&lt;&gt;"",E60-D60,"")</f>
        <v/>
      </c>
      <c r="G60" s="84">
        <f>IF(B60="","",C60*D60)</f>
        <v/>
      </c>
      <c r="H60" s="84">
        <f>IF(B60="","",C60*E60)</f>
        <v/>
      </c>
      <c r="I60" s="84">
        <f>IF(H60&lt;&gt;"",H60-G60,"")</f>
        <v/>
      </c>
      <c r="J60" s="81" t="n"/>
      <c r="K60" s="50" t="n"/>
      <c r="L60" s="49" t="n"/>
    </row>
    <row r="61">
      <c r="A61" s="81" t="n">
        <v>8</v>
      </c>
      <c r="B61" s="82" t="n"/>
      <c r="C61" s="83" t="n"/>
      <c r="D61" s="84">
        <f>IF(B61="","",VLOOKUP(B61,'Master Data'!$A$86:$C$94,2,FALSE))</f>
        <v/>
      </c>
      <c r="E61" s="84">
        <f>IF(B61="","",VLOOKUP(B61,'Master Data'!$A$86:$C$94,3,FALSE))</f>
        <v/>
      </c>
      <c r="F61" s="84">
        <f>IF(E61&lt;&gt;"",E61-D61,"")</f>
        <v/>
      </c>
      <c r="G61" s="84">
        <f>IF(B61="","",C61*D61)</f>
        <v/>
      </c>
      <c r="H61" s="84">
        <f>IF(B61="","",C61*E61)</f>
        <v/>
      </c>
      <c r="I61" s="84">
        <f>IF(H61&lt;&gt;"",H61-G61,"")</f>
        <v/>
      </c>
      <c r="J61" s="81" t="n"/>
    </row>
    <row r="62" ht="16.5" customHeight="1" s="42">
      <c r="A62" s="85" t="inlineStr">
        <is>
          <t>SUBTOTAL</t>
        </is>
      </c>
      <c r="B62" s="86" t="n"/>
      <c r="C62" s="86" t="n"/>
      <c r="D62" s="86" t="n"/>
      <c r="E62" s="86" t="n"/>
      <c r="F62" s="87" t="n"/>
      <c r="G62" s="88">
        <f>SUM(G54:G61)</f>
        <v/>
      </c>
      <c r="H62" s="88">
        <f>SUM(H54:H61)</f>
        <v/>
      </c>
      <c r="I62" s="88">
        <f>SUM(I54:I61)</f>
        <v/>
      </c>
    </row>
    <row r="64">
      <c r="A64" s="59" t="inlineStr">
        <is>
          <t>🏆 GRAND TOTAL</t>
        </is>
      </c>
    </row>
    <row r="65" ht="30.75" customHeight="1" s="42">
      <c r="A65" s="53" t="inlineStr">
        <is>
          <t>Category</t>
        </is>
      </c>
      <c r="G65" s="53" t="inlineStr">
        <is>
          <t>Total Cost</t>
        </is>
      </c>
      <c r="H65" s="53" t="inlineStr">
        <is>
          <t>Total Sell</t>
        </is>
      </c>
      <c r="I65" s="53" t="inlineStr">
        <is>
          <t>Total Margin</t>
        </is>
      </c>
      <c r="K65" s="53" t="inlineStr">
        <is>
          <t>Margin%</t>
        </is>
      </c>
    </row>
    <row r="66">
      <c r="A66" s="57" t="inlineStr">
        <is>
          <t>GOLF</t>
        </is>
      </c>
      <c r="G66" s="47">
        <f>G20</f>
        <v/>
      </c>
      <c r="H66" s="47">
        <f>H20</f>
        <v/>
      </c>
      <c r="I66" s="47">
        <f>I20</f>
        <v/>
      </c>
      <c r="K66" s="60">
        <f>IF(H66&gt;0,I66/H66,0)</f>
        <v/>
      </c>
    </row>
    <row r="67">
      <c r="A67" s="57" t="inlineStr">
        <is>
          <t>HOTEL</t>
        </is>
      </c>
      <c r="G67" s="47">
        <f>G27</f>
        <v/>
      </c>
      <c r="H67" s="47">
        <f>H27</f>
        <v/>
      </c>
      <c r="I67" s="47">
        <f>I27</f>
        <v/>
      </c>
      <c r="K67" s="60">
        <f>IF(H67&gt;0,I67/H67,0)</f>
        <v/>
      </c>
    </row>
    <row r="68">
      <c r="A68" s="57" t="inlineStr">
        <is>
          <t>TRANSPORT</t>
        </is>
      </c>
      <c r="G68" s="47">
        <f>G34</f>
        <v/>
      </c>
      <c r="H68" s="47">
        <f>H34</f>
        <v/>
      </c>
      <c r="I68" s="47">
        <f>I34</f>
        <v/>
      </c>
      <c r="K68" s="60">
        <f>IF(H68&gt;0,I68/H68,0)</f>
        <v/>
      </c>
    </row>
    <row r="69">
      <c r="A69" s="57" t="inlineStr">
        <is>
          <t>MEALS</t>
        </is>
      </c>
      <c r="G69" s="88">
        <f>G43</f>
        <v/>
      </c>
      <c r="H69" s="88">
        <f>H43</f>
        <v/>
      </c>
      <c r="I69" s="88">
        <f>I43</f>
        <v/>
      </c>
      <c r="K69" s="91">
        <f>IF(H69&gt;0,I69/H69,0)</f>
        <v/>
      </c>
    </row>
    <row r="70">
      <c r="A70" s="57" t="inlineStr">
        <is>
          <t>ACTIVITIES</t>
        </is>
      </c>
      <c r="G70">
        <f>G62</f>
        <v/>
      </c>
      <c r="H70">
        <f>H62</f>
        <v/>
      </c>
      <c r="I70">
        <f>I62</f>
        <v/>
      </c>
      <c r="K70">
        <f>IF(H70&gt;0,I70/H70,0)</f>
        <v/>
      </c>
    </row>
    <row r="71">
      <c r="A71" s="57" t="inlineStr">
        <is>
          <t>OTHER</t>
        </is>
      </c>
      <c r="G71" s="47">
        <f>G50</f>
        <v/>
      </c>
      <c r="H71" s="47">
        <f>H50</f>
        <v/>
      </c>
      <c r="I71" s="47">
        <f>I50</f>
        <v/>
      </c>
      <c r="K71" s="60">
        <f>IF(H71&gt;0,I71/H71,0)</f>
        <v/>
      </c>
    </row>
    <row r="72">
      <c r="A72" s="61" t="inlineStr">
        <is>
          <t>📌 GRAND TOTAL</t>
        </is>
      </c>
      <c r="B72" s="89" t="n"/>
      <c r="C72" s="89" t="n"/>
      <c r="D72" s="89" t="n"/>
      <c r="E72" s="89" t="n"/>
      <c r="F72" s="90" t="n"/>
      <c r="G72" s="88">
        <f>SUM(G66:G71)</f>
        <v/>
      </c>
      <c r="H72" s="88">
        <f>SUM(H66:H71)</f>
        <v/>
      </c>
      <c r="I72" s="88">
        <f>SUM(I66:I71)</f>
        <v/>
      </c>
      <c r="K72" s="91">
        <f>IF(H72&gt;0,I72/H72,0)</f>
        <v/>
      </c>
    </row>
    <row r="73" ht="30.75" customHeight="1" s="42"/>
    <row r="74" ht="30.75" customHeight="1" s="42">
      <c r="A74" s="48" t="inlineStr">
        <is>
          <t>👤 MULTI-DIRECTIONAL COST ALLOCATION (per person — override any yellow cell)</t>
        </is>
      </c>
    </row>
    <row r="75" ht="30.75" customHeight="1" s="42">
      <c r="A75" s="52" t="inlineStr">
        <is>
          <t>Category</t>
        </is>
      </c>
      <c r="B75" s="82" t="inlineStr">
        <is>
          <t>참가자1</t>
        </is>
      </c>
      <c r="C75" s="82" t="inlineStr">
        <is>
          <t>참가자2</t>
        </is>
      </c>
      <c r="D75" s="82" t="inlineStr">
        <is>
          <t>참가자3</t>
        </is>
      </c>
      <c r="E75" s="82" t="inlineStr">
        <is>
          <t>참가자4</t>
        </is>
      </c>
      <c r="F75" s="82" t="inlineStr">
        <is>
          <t>참가자5</t>
        </is>
      </c>
      <c r="G75" s="82" t="inlineStr">
        <is>
          <t>참가자6</t>
        </is>
      </c>
      <c r="H75" s="82" t="inlineStr">
        <is>
          <t>참가자7</t>
        </is>
      </c>
      <c r="I75" s="82" t="inlineStr">
        <is>
          <t>참가자8</t>
        </is>
      </c>
      <c r="J75" s="52" t="inlineStr">
        <is>
          <t>Category Total</t>
        </is>
      </c>
      <c r="K75" s="52" t="inlineStr">
        <is>
          <t>Grand Total</t>
        </is>
      </c>
      <c r="L75" s="52" t="inlineStr">
        <is>
          <t>✓Check</t>
        </is>
      </c>
    </row>
    <row r="76" ht="30.75" customHeight="1" s="42">
      <c r="A76" s="57" t="inlineStr">
        <is>
          <t>GOLF</t>
        </is>
      </c>
      <c r="B76" s="64">
        <f>IF(1&lt;=G5,IF(OR(G5=0,G5=""),0,G66/G5),"")</f>
        <v/>
      </c>
      <c r="C76" s="64">
        <f>IF(2&lt;=G5,IF(OR(G5=0,G5=""),0,G66/G5),"")</f>
        <v/>
      </c>
      <c r="D76" s="64">
        <f>IF(3&lt;=G5,IF(OR(G5=0,G5=""),0,G66/G5),"")</f>
        <v/>
      </c>
      <c r="E76" s="64">
        <f>IF(4&lt;=G5,IF(OR(G5=0,G5=""),0,G66/G5),"")</f>
        <v/>
      </c>
      <c r="F76" s="64">
        <f>IF(5&lt;=G5,IF(OR(G5=0,G5=""),0,G66/G5),"")</f>
        <v/>
      </c>
      <c r="G76" s="64">
        <f>IF(6&lt;=G5,IF(OR(G5=0,G5=""),0,G66/G5),"")</f>
        <v/>
      </c>
      <c r="H76" s="64">
        <f>IF(7&lt;=G5,IF(OR(G5=0,G5=""),0,G66/G5),"")</f>
        <v/>
      </c>
      <c r="I76" s="64">
        <f>IF(8&lt;=G5,IF(OR(G5=0,G5=""),0,G66/G5),"")</f>
        <v/>
      </c>
      <c r="J76" s="47">
        <f>SUM(B76:I76)</f>
        <v/>
      </c>
      <c r="K76" s="47">
        <f>G66</f>
        <v/>
      </c>
      <c r="L76" s="47">
        <f>J76-K76</f>
        <v/>
      </c>
    </row>
    <row r="77">
      <c r="A77" s="57" t="inlineStr">
        <is>
          <t>HOTEL</t>
        </is>
      </c>
      <c r="B77" s="64">
        <f>IF(1&lt;=G5,IF(OR(G5=0,G5=""),0,G67/G5),"")</f>
        <v/>
      </c>
      <c r="C77" s="64">
        <f>IF(2&lt;=G5,IF(OR(G5=0,G5=""),0,G67/G5),"")</f>
        <v/>
      </c>
      <c r="D77" s="64">
        <f>IF(3&lt;=G5,IF(OR(G5=0,G5=""),0,G67/G5),"")</f>
        <v/>
      </c>
      <c r="E77" s="64">
        <f>IF(4&lt;=G5,IF(OR(G5=0,G5=""),0,G67/G5),"")</f>
        <v/>
      </c>
      <c r="F77" s="64">
        <f>IF(5&lt;=G5,IF(OR(G5=0,G5=""),0,G67/G5),"")</f>
        <v/>
      </c>
      <c r="G77" s="64">
        <f>IF(6&lt;=G5,IF(OR(G5=0,G5=""),0,G67/G5),"")</f>
        <v/>
      </c>
      <c r="H77" s="64">
        <f>IF(7&lt;=G5,IF(OR(G5=0,G5=""),0,G67/G5),"")</f>
        <v/>
      </c>
      <c r="I77" s="64">
        <f>IF(8&lt;=G5,IF(OR(G5=0,G5=""),0,G67/G5),"")</f>
        <v/>
      </c>
      <c r="J77" s="47">
        <f>SUM(B77:I77)</f>
        <v/>
      </c>
      <c r="K77" s="47">
        <f>G67</f>
        <v/>
      </c>
      <c r="L77" s="47">
        <f>J77-K77</f>
        <v/>
      </c>
    </row>
    <row r="78">
      <c r="A78" s="57" t="inlineStr">
        <is>
          <t>TRANSPORT</t>
        </is>
      </c>
      <c r="B78" s="64">
        <f>IF(1&lt;=G5,IF(OR(G5=0,G5=""),0,G68/G5),"")</f>
        <v/>
      </c>
      <c r="C78" s="64">
        <f>IF(2&lt;=G5,IF(OR(G5=0,G5=""),0,G68/G5),"")</f>
        <v/>
      </c>
      <c r="D78" s="64">
        <f>IF(3&lt;=G5,IF(OR(G5=0,G5=""),0,G68/G5),"")</f>
        <v/>
      </c>
      <c r="E78" s="64">
        <f>IF(4&lt;=G5,IF(OR(G5=0,G5=""),0,G68/G5),"")</f>
        <v/>
      </c>
      <c r="F78" s="64">
        <f>IF(5&lt;=G5,IF(OR(G5=0,G5=""),0,G68/G5),"")</f>
        <v/>
      </c>
      <c r="G78" s="64">
        <f>IF(6&lt;=G5,IF(OR(G5=0,G5=""),0,G68/G5),"")</f>
        <v/>
      </c>
      <c r="H78" s="64">
        <f>IF(7&lt;=G5,IF(OR(G5=0,G5=""),0,G68/G5),"")</f>
        <v/>
      </c>
      <c r="I78" s="64">
        <f>IF(8&lt;=G5,IF(OR(G5=0,G5=""),0,G68/G5),"")</f>
        <v/>
      </c>
      <c r="J78" s="47">
        <f>SUM(B78:I78)</f>
        <v/>
      </c>
      <c r="K78" s="47">
        <f>G68</f>
        <v/>
      </c>
      <c r="L78" s="47">
        <f>J78-K78</f>
        <v/>
      </c>
    </row>
    <row r="79">
      <c r="A79" s="57" t="inlineStr">
        <is>
          <t>MEALS</t>
        </is>
      </c>
      <c r="B79" s="64">
        <f>IF(1&lt;=G5,IF(OR(G5=0,G5=""),0,G69/G5),"")</f>
        <v/>
      </c>
      <c r="C79" s="64">
        <f>IF(2&lt;=G5,IF(OR(G5=0,G5=""),0,G69/G5),"")</f>
        <v/>
      </c>
      <c r="D79" s="64">
        <f>IF(3&lt;=G5,IF(OR(G5=0,G5=""),0,G69/G5),"")</f>
        <v/>
      </c>
      <c r="E79" s="64">
        <f>IF(4&lt;=G5,IF(OR(G5=0,G5=""),0,G69/G5),"")</f>
        <v/>
      </c>
      <c r="F79" s="64">
        <f>IF(5&lt;=G5,IF(OR(G5=0,G5=""),0,G69/G5),"")</f>
        <v/>
      </c>
      <c r="G79" s="64">
        <f>IF(6&lt;=G5,IF(OR(G5=0,G5=""),0,G69/G5),"")</f>
        <v/>
      </c>
      <c r="H79" s="64">
        <f>IF(7&lt;=G5,IF(OR(G5=0,G5=""),0,G69/G5),"")</f>
        <v/>
      </c>
      <c r="I79" s="64">
        <f>IF(8&lt;=G5,IF(OR(G5=0,G5=""),0,G69/G5),"")</f>
        <v/>
      </c>
      <c r="J79" s="47">
        <f>SUM(B79:I79)</f>
        <v/>
      </c>
      <c r="K79" s="47">
        <f>G69</f>
        <v/>
      </c>
      <c r="L79" s="47">
        <f>J79-K79</f>
        <v/>
      </c>
    </row>
    <row r="80">
      <c r="A80" s="57" t="inlineStr">
        <is>
          <t>ACTIVITIES</t>
        </is>
      </c>
      <c r="B80" s="64">
        <f>IF(1&lt;=G5,IF(OR(G5=0,G5=""),0,G70/G5),"")</f>
        <v/>
      </c>
      <c r="C80" s="64">
        <f>IF(2&lt;=G5,IF(OR(G5=0,G5=""),0,G70/G5),"")</f>
        <v/>
      </c>
      <c r="D80" s="64">
        <f>IF(3&lt;=G5,IF(OR(G5=0,G5=""),0,G70/G5),"")</f>
        <v/>
      </c>
      <c r="E80" s="64">
        <f>IF(4&lt;=G5,IF(OR(G5=0,G5=""),0,G70/G5),"")</f>
        <v/>
      </c>
      <c r="F80" s="64">
        <f>IF(5&lt;=G5,IF(OR(G5=0,G5=""),0,G70/G5),"")</f>
        <v/>
      </c>
      <c r="G80" s="64">
        <f>IF(6&lt;=G5,IF(OR(G5=0,G5=""),0,G70/G5),"")</f>
        <v/>
      </c>
      <c r="H80" s="64">
        <f>IF(7&lt;=G5,IF(OR(G5=0,G5=""),0,G70/G5),"")</f>
        <v/>
      </c>
      <c r="I80" s="64">
        <f>IF(8&lt;=G5,IF(OR(G5=0,G5=""),0,G70/G5),"")</f>
        <v/>
      </c>
      <c r="J80" s="47">
        <f>SUM(B80:I80)</f>
        <v/>
      </c>
      <c r="K80" s="47">
        <f>G70</f>
        <v/>
      </c>
      <c r="L80" s="47">
        <f>J80-K80</f>
        <v/>
      </c>
    </row>
    <row r="81">
      <c r="A81" s="57" t="inlineStr">
        <is>
          <t>OTHER</t>
        </is>
      </c>
      <c r="B81" s="64">
        <f>IF(1&lt;=G5,IF(OR(G5=0,G5=""),0,G71/G5),"")</f>
        <v/>
      </c>
      <c r="C81" s="64">
        <f>IF(2&lt;=G5,IF(OR(G5=0,G5=""),0,G71/G5),"")</f>
        <v/>
      </c>
      <c r="D81" s="64">
        <f>IF(3&lt;=G5,IF(OR(G5=0,G5=""),0,G71/G5),"")</f>
        <v/>
      </c>
      <c r="E81" s="64">
        <f>IF(4&lt;=G5,IF(OR(G5=0,G5=""),0,G71/G5),"")</f>
        <v/>
      </c>
      <c r="F81" s="64">
        <f>IF(5&lt;=G5,IF(OR(G5=0,G5=""),0,G71/G5),"")</f>
        <v/>
      </c>
      <c r="G81" s="64">
        <f>IF(6&lt;=G5,IF(OR(G5=0,G5=""),0,G71/G5),"")</f>
        <v/>
      </c>
      <c r="H81" s="64">
        <f>IF(7&lt;=G5,IF(OR(G5=0,G5=""),0,G71/G5),"")</f>
        <v/>
      </c>
      <c r="I81" s="64">
        <f>IF(8&lt;=G5,IF(OR(G5=0,G5=""),0,G71/G5),"")</f>
        <v/>
      </c>
      <c r="J81" s="47">
        <f>SUM(B81:I81)</f>
        <v/>
      </c>
      <c r="K81" s="47">
        <f>G71</f>
        <v/>
      </c>
      <c r="L81" s="47">
        <f>J81-K81</f>
        <v/>
      </c>
    </row>
    <row r="82">
      <c r="A82" s="57" t="inlineStr">
        <is>
          <t>TOTAL</t>
        </is>
      </c>
      <c r="B82" s="65">
        <f>SUM(B76:B81)</f>
        <v/>
      </c>
      <c r="C82" s="65">
        <f>SUM(C76:C81)</f>
        <v/>
      </c>
      <c r="D82" s="65">
        <f>SUM(D76:D81)</f>
        <v/>
      </c>
      <c r="E82" s="65">
        <f>SUM(E76:E81)</f>
        <v/>
      </c>
      <c r="F82" s="65">
        <f>SUM(F76:F81)</f>
        <v/>
      </c>
      <c r="G82" s="65">
        <f>SUM(G76:G81)</f>
        <v/>
      </c>
      <c r="H82" s="65">
        <f>SUM(H76:H81)</f>
        <v/>
      </c>
      <c r="I82" s="65">
        <f>SUM(I76:I81)</f>
        <v/>
      </c>
      <c r="J82" s="65">
        <f>SUM(J76:J81)</f>
        <v/>
      </c>
      <c r="K82" s="65">
        <f>SUM(K76:K81)</f>
        <v/>
      </c>
      <c r="L82" s="65">
        <f>SUM(L76:L81)</f>
        <v/>
      </c>
    </row>
    <row r="83">
      <c r="A83" t="inlineStr">
        <is>
          <t>💡 노란색 셀은 직접 수정 가능 (별도 호텔·이동 인원 발생 시 해당 셀만 변경). 가로합=Cat Total, 세로합=TOTAL 체크.</t>
        </is>
      </c>
    </row>
    <row r="84">
      <c r="A84" t="inlineStr">
        <is>
          <t>💡 ✓Check 가 0 이면 분배 정확. ≠0 이면 누군가에게 더/덜 배분된 것 (의도적일 수 있음).</t>
        </is>
      </c>
    </row>
    <row r="86">
      <c r="A86" s="101" t="n"/>
      <c r="B86" s="101" t="n"/>
      <c r="C86" s="101" t="n"/>
      <c r="D86" s="101" t="n"/>
      <c r="E86" s="101" t="n"/>
      <c r="F86" s="101" t="n"/>
      <c r="G86" s="101" t="n"/>
      <c r="H86" s="101" t="n"/>
      <c r="I86" s="101" t="n"/>
      <c r="J86" s="101" t="n"/>
      <c r="K86" s="101" t="n"/>
      <c r="L86" s="101" t="n"/>
      <c r="M86" s="101" t="n"/>
      <c r="N86" s="101" t="n"/>
    </row>
    <row r="87">
      <c r="A87" s="101" t="n"/>
      <c r="B87" s="101" t="n"/>
      <c r="C87" s="101" t="n"/>
      <c r="D87" s="101" t="n"/>
      <c r="E87" s="101" t="n"/>
      <c r="F87" s="101" t="n"/>
      <c r="G87" s="101" t="n"/>
      <c r="H87" s="101" t="n"/>
      <c r="I87" s="101" t="n"/>
      <c r="J87" s="101" t="n"/>
      <c r="K87" s="101" t="n"/>
      <c r="L87" s="101" t="n"/>
      <c r="M87" s="101" t="n"/>
      <c r="N87" s="101" t="n"/>
    </row>
    <row r="88">
      <c r="A88" s="101" t="n"/>
      <c r="B88" s="101" t="n"/>
      <c r="C88" s="101" t="n"/>
      <c r="D88" s="101" t="n"/>
      <c r="E88" s="101" t="n"/>
      <c r="F88" s="102" t="n"/>
      <c r="G88" s="101" t="n"/>
      <c r="H88" s="101" t="n"/>
      <c r="I88" s="101" t="n"/>
      <c r="J88" s="101" t="n"/>
      <c r="K88" s="101" t="n"/>
      <c r="L88" s="101" t="n"/>
      <c r="M88" s="101" t="n"/>
      <c r="N88" s="101" t="n"/>
    </row>
    <row r="89">
      <c r="A89" s="101" t="n"/>
      <c r="B89" s="101" t="n"/>
      <c r="C89" s="101" t="n"/>
      <c r="D89" s="101" t="n"/>
      <c r="E89" s="101" t="n"/>
      <c r="F89" s="102" t="n"/>
      <c r="G89" s="101" t="n"/>
      <c r="H89" s="101" t="n"/>
      <c r="I89" s="101" t="n"/>
      <c r="J89" s="101" t="n"/>
      <c r="K89" s="101" t="n"/>
      <c r="L89" s="101" t="n"/>
      <c r="M89" s="101" t="n"/>
      <c r="N89" s="101" t="n"/>
    </row>
    <row r="90">
      <c r="A90" s="101" t="n"/>
      <c r="B90" s="101" t="n"/>
      <c r="C90" s="101" t="n"/>
      <c r="D90" s="101" t="n"/>
      <c r="E90" s="101" t="n"/>
      <c r="F90" s="102" t="n"/>
      <c r="G90" s="101" t="n"/>
      <c r="H90" s="101" t="n"/>
      <c r="I90" s="101" t="n"/>
      <c r="J90" s="101" t="n"/>
      <c r="K90" s="101" t="n"/>
      <c r="L90" s="101" t="n"/>
      <c r="M90" s="101" t="n"/>
      <c r="N90" s="101" t="n"/>
    </row>
  </sheetData>
  <mergeCells count="19">
    <mergeCell ref="A7:L7"/>
    <mergeCell ref="A27:F27"/>
    <mergeCell ref="A74:L74"/>
    <mergeCell ref="A50:F50"/>
    <mergeCell ref="B5:E5"/>
    <mergeCell ref="A22:L22"/>
    <mergeCell ref="A62:F62"/>
    <mergeCell ref="A20:F20"/>
    <mergeCell ref="A72:F72"/>
    <mergeCell ref="A4:L4"/>
    <mergeCell ref="A43:F43"/>
    <mergeCell ref="A29:L29"/>
    <mergeCell ref="A52:L52"/>
    <mergeCell ref="A13:L13"/>
    <mergeCell ref="A34:F34"/>
    <mergeCell ref="A64:L64"/>
    <mergeCell ref="A1:L1"/>
    <mergeCell ref="A45:L45"/>
    <mergeCell ref="A36:L36"/>
  </mergeCells>
  <dataValidations count="12">
    <dataValidation sqref="B15 B16 B17 B18 B19" showDropDown="0" showInputMessage="0" showErrorMessage="0" allowBlank="1" error="올바른 항목을 선택하세요" type="list">
      <formula1>'Master Data'!$A$7:$A$14</formula1>
    </dataValidation>
    <dataValidation sqref="B24 B25 B26" showDropDown="0" showInputMessage="0" showErrorMessage="0" allowBlank="1" error="올바른 항목을 선택하세요" type="list">
      <formula1>'Master Data'!$A$19:$A$24</formula1>
    </dataValidation>
    <dataValidation sqref="K24 K25 K26" showDropDown="0" showInputMessage="0" showErrorMessage="0" allowBlank="0" type="list">
      <formula1>"1인1실, 2인1실, 3인1실, 4인1실"</formula1>
    </dataValidation>
    <dataValidation sqref="L24 L25 L26" showDropDown="0" showInputMessage="0" showErrorMessage="0" allowBlank="0" type="list">
      <formula1>"1, 2, 3, 4"</formula1>
    </dataValidation>
    <dataValidation sqref="B31 B32 B33" showDropDown="0" showInputMessage="0" showErrorMessage="0" allowBlank="1" error="올바른 항목을 선택하세요" type="list">
      <formula1>'Master Data'!$A$28:$A$34</formula1>
    </dataValidation>
    <dataValidation sqref="K31 K32 K33" showDropDown="0" showInputMessage="0" showErrorMessage="0" allowBlank="0" type="list">
      <formula1>"Full-size Van, Mini Van, SUV, Sedan, Limo, Mini Bus (15p), Charter Bus (40p)"</formula1>
    </dataValidation>
    <dataValidation sqref="B38 B39 B40 B41 B42" showDropDown="0" showInputMessage="0" showErrorMessage="0" allowBlank="1" error="올바른 항목을 선택하세요" type="list">
      <formula1>'Master Data'!$A$38:$A$46</formula1>
    </dataValidation>
    <dataValidation sqref="B47 B48 B49" showDropDown="0" showInputMessage="0" showErrorMessage="0" allowBlank="1" error="올바른 항목을 선택하세요" type="list">
      <formula1>'Master Data'!$A$50:$A$56</formula1>
    </dataValidation>
    <dataValidation sqref="B54 B55 B56 B57 B58 B59 B60 B61" showDropDown="0" showInputMessage="0" showErrorMessage="0" allowBlank="1" error="올바른 항목을 선택하세요" type="list">
      <formula1>'Master Data'!$A$86:$A$94</formula1>
    </dataValidation>
    <dataValidation sqref="G5" showDropDown="0" showInputMessage="0" showErrorMessage="0" allowBlank="0" type="list">
      <formula1>"2,4,6,8"</formula1>
    </dataValidation>
    <dataValidation sqref="L8 L9" showDropDown="0" showInputMessage="0" showErrorMessage="0" allowBlank="0" type="list">
      <formula1>"First, Business, Premium Economy, Economy"</formula1>
    </dataValidation>
    <dataValidation sqref="C15 C16 C17 C18 C19 C24 C25 C26 C31 C32 C33 C38 C39 C40 C41 C42 C47 C48 C49 C54 C55 C56 C57 C58 C59 C60 C61" showDropDown="0" showInputMessage="0" showErrorMessage="0" allowBlank="1" error="1-20 사이 값을 선택하세요" type="list">
      <formula1>"1,2,3,4,5,6,7,8,9,10,11,12,13,14,15,16,17,18,19,20"</formula1>
    </dataValidation>
  </dataValidations>
  <pageMargins left="0.75" right="0.75" top="1" bottom="1" header="0.5" footer="0.5"/>
</worksheet>
</file>

<file path=xl/worksheets/sheet4.xml><?xml version="1.0" encoding="utf-8"?>
<worksheet xmlns="http://schemas.openxmlformats.org/spreadsheetml/2006/main">
  <sheetPr>
    <tabColor rgb="FFC62828"/>
    <outlinePr summaryBelow="1" summaryRight="1"/>
    <pageSetUpPr/>
  </sheetPr>
  <dimension ref="A1:H15"/>
  <sheetViews>
    <sheetView workbookViewId="0">
      <pane ySplit="5" topLeftCell="A6" activePane="bottomLeft" state="frozen"/>
      <selection pane="bottomLeft" activeCell="B12" sqref="B12"/>
    </sheetView>
  </sheetViews>
  <sheetFormatPr baseColWidth="8" defaultRowHeight="15"/>
  <cols>
    <col width="18" customWidth="1" style="42" min="1" max="1"/>
    <col width="16" customWidth="1" style="42" min="2" max="4"/>
    <col width="14" customWidth="1" style="42" min="5" max="5"/>
    <col width="16" customWidth="1" style="42" min="6" max="6"/>
    <col width="14" customWidth="1" style="42" min="7" max="8"/>
  </cols>
  <sheetData>
    <row r="1" ht="33.75" customHeight="1" s="42">
      <c r="A1" s="32" t="inlineStr">
        <is>
          <t>📊 PROFIT SUMMARY — Package Selector 결과 자동 반영</t>
        </is>
      </c>
    </row>
    <row r="2">
      <c r="A2" s="36" t="inlineStr">
        <is>
          <t>⬇️ 'Package Selector' 시트에서 선택한 항목에 따라 자동 업데이트</t>
        </is>
      </c>
    </row>
    <row r="4">
      <c r="A4" s="31" t="inlineStr">
        <is>
          <t>💰 PACKAGE PROFIT OVERVIEW</t>
        </is>
      </c>
      <c r="B4" s="44" t="n"/>
      <c r="C4" s="44" t="n"/>
      <c r="D4" s="44" t="n"/>
      <c r="E4" s="44" t="n"/>
      <c r="F4" s="44" t="n"/>
      <c r="G4" s="44" t="n"/>
      <c r="H4" s="45" t="n"/>
    </row>
    <row r="5">
      <c r="A5" s="2" t="inlineStr">
        <is>
          <t>Category</t>
        </is>
      </c>
      <c r="B5" s="2" t="inlineStr">
        <is>
          <t>Total Cost</t>
        </is>
      </c>
      <c r="C5" s="2" t="inlineStr">
        <is>
          <t>Total Sell</t>
        </is>
      </c>
      <c r="D5" s="2" t="inlineStr">
        <is>
          <t>Total Margin</t>
        </is>
      </c>
      <c r="E5" s="2" t="inlineStr">
        <is>
          <t>Margin%</t>
        </is>
      </c>
      <c r="F5" s="2" t="inlineStr">
        <is>
          <t>Per Person Cost</t>
        </is>
      </c>
      <c r="G5" s="2" t="inlineStr">
        <is>
          <t>Per Person Sell</t>
        </is>
      </c>
      <c r="H5" s="2" t="inlineStr">
        <is>
          <t>Per Person Margin</t>
        </is>
      </c>
    </row>
    <row r="6">
      <c r="A6" s="6" t="inlineStr">
        <is>
          <t>GOLF</t>
        </is>
      </c>
      <c r="B6" s="5">
        <f>'Package Selector'!G20</f>
        <v/>
      </c>
      <c r="C6" s="5">
        <f>'Package Selector'!H20</f>
        <v/>
      </c>
      <c r="D6" s="5">
        <f>'Package Selector'!I20</f>
        <v/>
      </c>
      <c r="E6" s="22">
        <f>IF(C6&gt;0,D6/C6,0)</f>
        <v/>
      </c>
      <c r="F6" s="5">
        <f>IF('Package Selector'!G5&gt;0,B6/'Package Selector'!G5,0)</f>
        <v/>
      </c>
      <c r="G6" s="5">
        <f>IF('Package Selector'!G5&gt;0,C6/'Package Selector'!G5,0)</f>
        <v/>
      </c>
      <c r="H6" s="5">
        <f>IF('Package Selector'!G5&gt;0,D6/'Package Selector'!G5,0)</f>
        <v/>
      </c>
    </row>
    <row r="7">
      <c r="A7" s="6" t="inlineStr">
        <is>
          <t>HOTEL</t>
        </is>
      </c>
      <c r="B7" s="5">
        <f>'Package Selector'!G27</f>
        <v/>
      </c>
      <c r="C7" s="5">
        <f>'Package Selector'!H27</f>
        <v/>
      </c>
      <c r="D7" s="5">
        <f>'Package Selector'!I27</f>
        <v/>
      </c>
      <c r="E7" s="22">
        <f>IF(C7&gt;0,D7/C7,0)</f>
        <v/>
      </c>
      <c r="F7" s="5">
        <f>IF('Package Selector'!G5&gt;0,B7/'Package Selector'!G5,0)</f>
        <v/>
      </c>
      <c r="G7" s="5">
        <f>IF('Package Selector'!G5&gt;0,C7/'Package Selector'!G5,0)</f>
        <v/>
      </c>
      <c r="H7" s="5">
        <f>IF('Package Selector'!G5&gt;0,D7/'Package Selector'!G5,0)</f>
        <v/>
      </c>
    </row>
    <row r="8">
      <c r="A8" s="6" t="inlineStr">
        <is>
          <t>TRANSPORT</t>
        </is>
      </c>
      <c r="B8" s="5">
        <f>'Package Selector'!G34</f>
        <v/>
      </c>
      <c r="C8" s="5">
        <f>'Package Selector'!H34</f>
        <v/>
      </c>
      <c r="D8" s="5">
        <f>'Package Selector'!I34</f>
        <v/>
      </c>
      <c r="E8" s="22">
        <f>IF(C8&gt;0,D8/C8,0)</f>
        <v/>
      </c>
      <c r="F8" s="5">
        <f>IF('Package Selector'!G5&gt;0,B8/'Package Selector'!G5,0)</f>
        <v/>
      </c>
      <c r="G8" s="5">
        <f>IF('Package Selector'!G5&gt;0,C8/'Package Selector'!G5,0)</f>
        <v/>
      </c>
      <c r="H8" s="5">
        <f>IF('Package Selector'!G5&gt;0,D8/'Package Selector'!G5,0)</f>
        <v/>
      </c>
    </row>
    <row r="9">
      <c r="A9" s="6" t="inlineStr">
        <is>
          <t>MEALS</t>
        </is>
      </c>
      <c r="B9" s="5">
        <f>'Package Selector'!G43</f>
        <v/>
      </c>
      <c r="C9" s="5">
        <f>'Package Selector'!H43</f>
        <v/>
      </c>
      <c r="D9" s="5">
        <f>'Package Selector'!I43</f>
        <v/>
      </c>
      <c r="E9" s="22">
        <f>IF(C9&gt;0,D9/C9,0)</f>
        <v/>
      </c>
      <c r="F9" s="5">
        <f>IF('Package Selector'!G5&gt;0,B9/'Package Selector'!G5,0)</f>
        <v/>
      </c>
      <c r="G9" s="5">
        <f>IF('Package Selector'!G5&gt;0,C9/'Package Selector'!G5,0)</f>
        <v/>
      </c>
      <c r="H9" s="5">
        <f>IF('Package Selector'!G5&gt;0,D9/'Package Selector'!G5,0)</f>
        <v/>
      </c>
    </row>
    <row r="10">
      <c r="A10" s="57" t="inlineStr">
        <is>
          <t>ACTIVITIES</t>
        </is>
      </c>
      <c r="B10" s="47">
        <f>'Package Selector'!G62</f>
        <v/>
      </c>
      <c r="C10" s="47">
        <f>'Package Selector'!H62</f>
        <v/>
      </c>
      <c r="D10" s="47">
        <f>'Package Selector'!I62</f>
        <v/>
      </c>
      <c r="E10" s="60">
        <f>IF(C10&gt;0,D10/C10,0)</f>
        <v/>
      </c>
      <c r="F10" s="47">
        <f>IF('Package Selector'!G5&gt;0,B10/'Package Selector'!G5,0)</f>
        <v/>
      </c>
      <c r="G10" s="47">
        <f>IF('Package Selector'!G5&gt;0,C10/'Package Selector'!G5,0)</f>
        <v/>
      </c>
      <c r="H10" s="47">
        <f>IF('Package Selector'!G5&gt;0,D10/'Package Selector'!G5,0)</f>
        <v/>
      </c>
    </row>
    <row r="11">
      <c r="A11" s="6" t="inlineStr">
        <is>
          <t>OTHER</t>
        </is>
      </c>
      <c r="B11" s="5">
        <f>'Package Selector'!G50</f>
        <v/>
      </c>
      <c r="C11" s="5">
        <f>'Package Selector'!H50</f>
        <v/>
      </c>
      <c r="D11" s="5">
        <f>'Package Selector'!I50</f>
        <v/>
      </c>
      <c r="E11" s="22">
        <f>IF(C11&gt;0,D11/C11,0)</f>
        <v/>
      </c>
      <c r="F11" s="5">
        <f>IF('Package Selector'!G5&gt;0,B11/'Package Selector'!G5,0)</f>
        <v/>
      </c>
      <c r="G11" s="5">
        <f>IF('Package Selector'!G5&gt;0,C11/'Package Selector'!G5,0)</f>
        <v/>
      </c>
      <c r="H11" s="5">
        <f>IF('Package Selector'!G5&gt;0,D11/'Package Selector'!G5,0)</f>
        <v/>
      </c>
    </row>
    <row r="12">
      <c r="A12" s="67" t="inlineStr">
        <is>
          <t>📌 TOTAL</t>
        </is>
      </c>
      <c r="B12" s="68">
        <f>SUM(B6:B11)</f>
        <v/>
      </c>
      <c r="C12" s="68">
        <f>SUM(C6:C11)</f>
        <v/>
      </c>
      <c r="D12" s="68">
        <f>SUM(D6:D11)</f>
        <v/>
      </c>
      <c r="E12" s="69">
        <f>SUM(E6:E11)</f>
        <v/>
      </c>
      <c r="F12" s="68">
        <f>SUM(F6:F11)</f>
        <v/>
      </c>
      <c r="G12" s="68">
        <f>SUM(G6:G11)</f>
        <v/>
      </c>
      <c r="H12" s="68">
        <f>SUM(H6:H11)</f>
        <v/>
      </c>
    </row>
    <row r="13"/>
    <row r="14">
      <c r="A14" s="36" t="inlineStr">
        <is>
          <t>💡 'Package Selector' 시트에서 선택 변경 시 이 요약표가 자동 업데이트됩니다.</t>
        </is>
      </c>
    </row>
    <row r="15">
      <c r="A15" s="36" t="inlineStr">
        <is>
          <t>💡 마스터데이터 가격 수정 → Package Selector → Profit Summary 전부 자동 연동</t>
        </is>
      </c>
    </row>
  </sheetData>
  <mergeCells count="4">
    <mergeCell ref="A4:H4"/>
    <mergeCell ref="A13:H13"/>
    <mergeCell ref="A14:H14"/>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6"/>
  <sheetViews>
    <sheetView workbookViewId="0">
      <selection activeCell="A1" sqref="A1"/>
    </sheetView>
  </sheetViews>
  <sheetFormatPr baseColWidth="8" defaultRowHeight="15"/>
  <cols>
    <col width="28" customWidth="1" style="42" min="1" max="1"/>
    <col width="11" customWidth="1" style="42" min="2" max="2"/>
    <col width="11" customWidth="1" style="42" min="3" max="3"/>
    <col width="11" customWidth="1" style="42" min="4" max="4"/>
    <col width="11" customWidth="1" style="42" min="5" max="5"/>
    <col width="11" customWidth="1" style="42" min="6" max="6"/>
    <col width="11" customWidth="1" style="42" min="7" max="7"/>
    <col width="11" customWidth="1" style="42" min="8" max="8"/>
    <col width="11" customWidth="1" style="42" min="9" max="9"/>
    <col width="10" customWidth="1" style="42" min="10" max="10"/>
    <col width="12" customWidth="1" style="42" min="11" max="11"/>
    <col width="12" customWidth="1" style="42" min="12" max="12"/>
    <col hidden="1" width="13" customWidth="1" style="42" min="15" max="15"/>
    <col hidden="1" width="13" customWidth="1" style="42" min="16" max="16"/>
  </cols>
  <sheetData>
    <row r="1">
      <c r="A1" s="103" t="inlineStr">
        <is>
          <t>🎯 PACKAGE SELECTOR 2 — Per Person Custom Builder</t>
        </is>
      </c>
      <c r="B1" s="104" t="n"/>
      <c r="C1" s="104" t="n"/>
      <c r="D1" s="104" t="n"/>
      <c r="E1" s="104" t="n"/>
      <c r="F1" s="104" t="n"/>
      <c r="G1" s="104" t="n"/>
      <c r="H1" s="104" t="n"/>
      <c r="I1" s="104" t="n"/>
      <c r="J1" s="104" t="n"/>
      <c r="K1" s="104" t="n"/>
      <c r="L1" s="104" t="n"/>
    </row>
    <row r="2">
      <c r="A2" s="105" t="inlineStr">
        <is>
          <t>참가자 컬럼에 ✓ 체크 → 개인별 패키지 자동구성 → 비용계산 → Profit Summary 2 반영</t>
        </is>
      </c>
    </row>
    <row r="4">
      <c r="A4" s="106" t="inlineStr">
        <is>
          <t>Group Size:</t>
        </is>
      </c>
      <c r="B4" s="107">
        <f>'Package Selector'!G5</f>
        <v/>
      </c>
      <c r="C4" s="108" t="inlineStr">
        <is>
          <t>persons</t>
        </is>
      </c>
      <c r="H4" s="106" t="inlineStr">
        <is>
          <t>⚠️ 중복항목</t>
        </is>
      </c>
      <c r="I4" s="127">
        <f>COUNTIF(O:O,"&gt;0")&amp;"건"</f>
        <v/>
      </c>
    </row>
    <row r="6">
      <c r="A6" s="119" t="inlineStr">
        <is>
          <t>Category / Item</t>
        </is>
      </c>
      <c r="B6" s="98" t="inlineStr">
        <is>
          <t>참가자1</t>
        </is>
      </c>
      <c r="C6" s="98" t="inlineStr">
        <is>
          <t>참가자2</t>
        </is>
      </c>
      <c r="D6" s="98" t="inlineStr">
        <is>
          <t>참가자3</t>
        </is>
      </c>
      <c r="E6" s="98" t="inlineStr">
        <is>
          <t>참가자4</t>
        </is>
      </c>
      <c r="F6" s="98" t="inlineStr">
        <is>
          <t>참가자5</t>
        </is>
      </c>
      <c r="G6" s="98" t="inlineStr">
        <is>
          <t>참가자6</t>
        </is>
      </c>
      <c r="H6" s="98" t="inlineStr">
        <is>
          <t>참가자7</t>
        </is>
      </c>
      <c r="I6" s="98" t="inlineStr">
        <is>
          <t>참가자8</t>
        </is>
      </c>
      <c r="J6" s="98" t="inlineStr">
        <is>
          <t>Qty/p</t>
        </is>
      </c>
      <c r="K6" s="98" t="inlineStr">
        <is>
          <t>Cost/P</t>
        </is>
      </c>
      <c r="L6" s="98" t="inlineStr">
        <is>
          <t>Sell/P</t>
        </is>
      </c>
    </row>
    <row r="7">
      <c r="A7" s="128" t="inlineStr">
        <is>
          <t>⛳ GOLF (1인 1라운드)</t>
        </is>
      </c>
      <c r="B7" s="77" t="n"/>
      <c r="C7" s="77" t="n"/>
      <c r="D7" s="77" t="n"/>
      <c r="E7" s="77" t="n"/>
      <c r="F7" s="77" t="n"/>
      <c r="G7" s="77" t="n"/>
      <c r="H7" s="77" t="n"/>
      <c r="I7" s="77" t="n"/>
      <c r="J7" s="77" t="n"/>
      <c r="K7" s="77" t="n"/>
      <c r="L7" s="77" t="n"/>
    </row>
    <row r="8">
      <c r="A8" s="119" t="inlineStr">
        <is>
          <t>Item (Select ▼)</t>
        </is>
      </c>
      <c r="B8" s="98" t="inlineStr">
        <is>
          <t>P1</t>
        </is>
      </c>
      <c r="C8" s="98" t="inlineStr">
        <is>
          <t>P2</t>
        </is>
      </c>
      <c r="D8" s="98" t="inlineStr">
        <is>
          <t>P3</t>
        </is>
      </c>
      <c r="E8" s="98" t="inlineStr">
        <is>
          <t>P4</t>
        </is>
      </c>
      <c r="F8" s="98" t="inlineStr">
        <is>
          <t>P5</t>
        </is>
      </c>
      <c r="G8" s="98" t="inlineStr">
        <is>
          <t>P6</t>
        </is>
      </c>
      <c r="H8" s="98" t="inlineStr">
        <is>
          <t>P7</t>
        </is>
      </c>
      <c r="I8" s="98" t="inlineStr">
        <is>
          <t>P8</t>
        </is>
      </c>
      <c r="J8" s="98" t="inlineStr">
        <is>
          <t>Qty</t>
        </is>
      </c>
      <c r="K8" s="98" t="inlineStr">
        <is>
          <t>Cost/P</t>
        </is>
      </c>
      <c r="L8" s="98" t="inlineStr">
        <is>
          <t>Sell/P</t>
        </is>
      </c>
    </row>
    <row r="9">
      <c r="A9" s="109" t="inlineStr">
        <is>
          <t>Trump National LA</t>
        </is>
      </c>
      <c r="B9" s="81" t="inlineStr"/>
      <c r="C9" s="81" t="inlineStr"/>
      <c r="D9" s="81" t="inlineStr"/>
      <c r="E9" s="81" t="inlineStr"/>
      <c r="F9" s="81" t="inlineStr"/>
      <c r="G9" s="81" t="inlineStr"/>
      <c r="H9" s="81" t="inlineStr"/>
      <c r="I9" s="81" t="inlineStr"/>
      <c r="J9" s="83" t="n">
        <v>2</v>
      </c>
      <c r="K9" s="84">
        <f>IF(A9="","",VLOOKUP(A9,'Master Data'!$A$7:$C$14,2,FALSE))</f>
        <v/>
      </c>
      <c r="L9" s="84">
        <f>IF(A9="","",VLOOKUP(A9,'Master Data'!$A$7:$C$14,3,FALSE))</f>
        <v/>
      </c>
      <c r="O9" s="81">
        <f>0</f>
        <v/>
      </c>
      <c r="P9" s="81" t="n">
        <v>1</v>
      </c>
    </row>
    <row r="10">
      <c r="A10" s="108" t="inlineStr">
        <is>
          <t>Sandpiper GC</t>
        </is>
      </c>
      <c r="B10" s="81" t="inlineStr"/>
      <c r="C10" s="81" t="inlineStr"/>
      <c r="D10" s="81" t="inlineStr"/>
      <c r="E10" s="81" t="inlineStr"/>
      <c r="F10" s="81" t="inlineStr"/>
      <c r="G10" s="81" t="inlineStr"/>
      <c r="H10" s="81" t="inlineStr"/>
      <c r="I10" s="81" t="inlineStr"/>
      <c r="J10" s="83" t="n">
        <v>2</v>
      </c>
      <c r="K10" s="84">
        <f>IF(A10="","",VLOOKUP(A10,'Master Data'!$A$7:$C$14,2,FALSE))</f>
        <v/>
      </c>
      <c r="L10" s="84">
        <f>IF(A10="","",VLOOKUP(A10,'Master Data'!$A$7:$C$14,3,FALSE))</f>
        <v/>
      </c>
      <c r="O10" s="81">
        <f>IF(A10="",0,COUNTIF(A$9:A9,A10))</f>
        <v/>
      </c>
      <c r="P10" s="81" t="n">
        <v>1</v>
      </c>
    </row>
    <row r="11">
      <c r="A11" s="109" t="inlineStr">
        <is>
          <t>Hidden Valley GC</t>
        </is>
      </c>
      <c r="B11" s="81" t="inlineStr"/>
      <c r="C11" s="81" t="inlineStr"/>
      <c r="D11" s="81" t="inlineStr"/>
      <c r="E11" s="81" t="inlineStr"/>
      <c r="F11" s="81" t="inlineStr"/>
      <c r="G11" s="81" t="inlineStr"/>
      <c r="H11" s="81" t="inlineStr"/>
      <c r="I11" s="81" t="inlineStr"/>
      <c r="J11" s="83" t="n">
        <v>1</v>
      </c>
      <c r="K11" s="84">
        <f>IF(A11="","",VLOOKUP(A11,'Master Data'!$A$7:$C$14,2,FALSE))</f>
        <v/>
      </c>
      <c r="L11" s="84">
        <f>IF(A11="","",VLOOKUP(A11,'Master Data'!$A$7:$C$14,3,FALSE))</f>
        <v/>
      </c>
      <c r="O11" s="81">
        <f>IF(A11="",0,COUNTIF(A$9:A10,A11))</f>
        <v/>
      </c>
      <c r="P11" s="81" t="n">
        <v>1</v>
      </c>
    </row>
    <row r="12">
      <c r="A12" s="129" t="inlineStr"/>
      <c r="B12" s="81" t="inlineStr"/>
      <c r="C12" s="81" t="inlineStr"/>
      <c r="D12" s="81" t="inlineStr"/>
      <c r="E12" s="81" t="inlineStr"/>
      <c r="F12" s="81" t="inlineStr"/>
      <c r="G12" s="81" t="inlineStr"/>
      <c r="H12" s="81" t="inlineStr"/>
      <c r="I12" s="81" t="inlineStr"/>
      <c r="J12" s="83" t="inlineStr"/>
      <c r="K12" s="84">
        <f>IF(A12="","",VLOOKUP(A12,'Master Data'!$A$7:$C$14,2,FALSE))</f>
        <v/>
      </c>
      <c r="L12" s="84">
        <f>IF(A12="","",VLOOKUP(A12,'Master Data'!$A$7:$C$14,3,FALSE))</f>
        <v/>
      </c>
      <c r="O12" s="81">
        <f>IF(A12="",0,COUNTIF(A$9:A11,A12))</f>
        <v/>
      </c>
      <c r="P12" s="81" t="n">
        <v>1</v>
      </c>
    </row>
    <row r="13">
      <c r="A13" s="129" t="inlineStr"/>
      <c r="B13" s="81" t="inlineStr"/>
      <c r="C13" s="81" t="inlineStr"/>
      <c r="D13" s="81" t="inlineStr"/>
      <c r="E13" s="81" t="inlineStr"/>
      <c r="F13" s="81" t="inlineStr"/>
      <c r="G13" s="81" t="inlineStr"/>
      <c r="H13" s="81" t="inlineStr"/>
      <c r="I13" s="81" t="inlineStr"/>
      <c r="J13" s="83" t="inlineStr"/>
      <c r="K13" s="84">
        <f>IF(A13="","",VLOOKUP(A13,'Master Data'!$A$7:$C$14,2,FALSE))</f>
        <v/>
      </c>
      <c r="L13" s="84">
        <f>IF(A13="","",VLOOKUP(A13,'Master Data'!$A$7:$C$14,3,FALSE))</f>
        <v/>
      </c>
      <c r="O13" s="81">
        <f>IF(A13="",0,COUNTIF(A$9:A12,A13))</f>
        <v/>
      </c>
      <c r="P13" s="81" t="n">
        <v>1</v>
      </c>
    </row>
    <row r="14">
      <c r="A14" s="123" t="inlineStr">
        <is>
          <t>SUBTOTAL</t>
        </is>
      </c>
      <c r="B14" s="130">
        <f>SUMPRODUCT((B9:B13="✓")*1,J9:J13,K9:K13)</f>
        <v/>
      </c>
      <c r="C14" s="130">
        <f>SUMPRODUCT((C9:C13="✓")*1,J9:J13,K9:K13)</f>
        <v/>
      </c>
      <c r="D14" s="130">
        <f>SUMPRODUCT((D9:D13="✓")*1,J9:J13,K9:K13)</f>
        <v/>
      </c>
      <c r="E14" s="130">
        <f>SUMPRODUCT((E9:E13="✓")*1,J9:J13,K9:K13)</f>
        <v/>
      </c>
      <c r="F14" s="130">
        <f>SUMPRODUCT((F9:F13="✓")*1,J9:J13,K9:K13)</f>
        <v/>
      </c>
      <c r="G14" s="130">
        <f>SUMPRODUCT((G9:G13="✓")*1,J9:J13,K9:K13)</f>
        <v/>
      </c>
      <c r="H14" s="130">
        <f>SUMPRODUCT((H9:H13="✓")*1,J9:J13,K9:K13)</f>
        <v/>
      </c>
      <c r="I14" s="130">
        <f>SUMPRODUCT((I9:I13="✓")*1,J9:J13,K9:K13)</f>
        <v/>
      </c>
      <c r="J14" s="114" t="inlineStr"/>
      <c r="K14" s="88">
        <f>SUMPRODUCT((J9:J13)*(K9:K13)*(COUNTIF(B9:I13,"✓")&gt;0)*1)</f>
        <v/>
      </c>
      <c r="L14" s="88">
        <f>SUMPRODUCT((J9:J13)*(L9:L13)*(COUNTIF(B9:I13,"✓")&gt;0)*1)</f>
        <v/>
      </c>
    </row>
    <row r="16">
      <c r="A16" s="128" t="inlineStr">
        <is>
          <t>🏨 HOTEL (1인 1박)</t>
        </is>
      </c>
      <c r="B16" s="77" t="n"/>
      <c r="C16" s="77" t="n"/>
      <c r="D16" s="77" t="n"/>
      <c r="E16" s="77" t="n"/>
      <c r="F16" s="77" t="n"/>
      <c r="G16" s="77" t="n"/>
      <c r="H16" s="77" t="n"/>
      <c r="I16" s="77" t="n"/>
      <c r="J16" s="77" t="n"/>
      <c r="K16" s="77" t="n"/>
      <c r="L16" s="77" t="n"/>
    </row>
    <row r="17">
      <c r="A17" s="119" t="inlineStr">
        <is>
          <t>Item (Select ▼)</t>
        </is>
      </c>
      <c r="B17" s="98" t="inlineStr">
        <is>
          <t>P1</t>
        </is>
      </c>
      <c r="C17" s="98" t="inlineStr">
        <is>
          <t>P2</t>
        </is>
      </c>
      <c r="D17" s="98" t="inlineStr">
        <is>
          <t>P3</t>
        </is>
      </c>
      <c r="E17" s="98" t="inlineStr">
        <is>
          <t>P4</t>
        </is>
      </c>
      <c r="F17" s="98" t="inlineStr">
        <is>
          <t>P5</t>
        </is>
      </c>
      <c r="G17" s="98" t="inlineStr">
        <is>
          <t>P6</t>
        </is>
      </c>
      <c r="H17" s="98" t="inlineStr">
        <is>
          <t>P7</t>
        </is>
      </c>
      <c r="I17" s="98" t="inlineStr">
        <is>
          <t>P8</t>
        </is>
      </c>
      <c r="J17" s="98" t="inlineStr">
        <is>
          <t>Qty</t>
        </is>
      </c>
      <c r="K17" s="98" t="inlineStr">
        <is>
          <t>Cost/P</t>
        </is>
      </c>
      <c r="L17" s="98" t="inlineStr">
        <is>
          <t>Sell/P</t>
        </is>
      </c>
    </row>
    <row r="18">
      <c r="A18" s="109" t="inlineStr">
        <is>
          <t>Beverly Wilshire (5★) / Same Tier</t>
        </is>
      </c>
      <c r="B18" s="81" t="inlineStr"/>
      <c r="C18" s="81" t="inlineStr"/>
      <c r="D18" s="81" t="inlineStr"/>
      <c r="E18" s="81" t="inlineStr"/>
      <c r="F18" s="81" t="inlineStr"/>
      <c r="G18" s="81" t="inlineStr"/>
      <c r="H18" s="81" t="inlineStr"/>
      <c r="I18" s="81" t="inlineStr"/>
      <c r="J18" s="83" t="n">
        <v>3</v>
      </c>
      <c r="K18" s="84">
        <f>IF(A18="","",VLOOKUP(A18,'Master Data'!$A$19:$C$24,2,FALSE))</f>
        <v/>
      </c>
      <c r="L18" s="84">
        <f>IF(A18="","",VLOOKUP(A18,'Master Data'!$A$19:$C$24,3,FALSE))</f>
        <v/>
      </c>
      <c r="O18" s="81">
        <f>0</f>
        <v/>
      </c>
      <c r="P18" s="81" t="n">
        <v>2</v>
      </c>
    </row>
    <row r="19">
      <c r="A19" s="129" t="inlineStr"/>
      <c r="B19" s="81" t="inlineStr"/>
      <c r="C19" s="81" t="inlineStr"/>
      <c r="D19" s="81" t="inlineStr"/>
      <c r="E19" s="81" t="inlineStr"/>
      <c r="F19" s="81" t="inlineStr"/>
      <c r="G19" s="81" t="inlineStr"/>
      <c r="H19" s="81" t="inlineStr"/>
      <c r="I19" s="81" t="inlineStr"/>
      <c r="J19" s="83" t="inlineStr"/>
      <c r="K19" s="84">
        <f>IF(A19="","",VLOOKUP(A19,'Master Data'!$A$19:$C$24,2,FALSE))</f>
        <v/>
      </c>
      <c r="L19" s="84">
        <f>IF(A19="","",VLOOKUP(A19,'Master Data'!$A$19:$C$24,3,FALSE))</f>
        <v/>
      </c>
      <c r="O19" s="81">
        <f>IF(A19="",0,COUNTIF(A$18:A18,A19))</f>
        <v/>
      </c>
      <c r="P19" s="81" t="n">
        <v>2</v>
      </c>
    </row>
    <row r="20">
      <c r="A20" s="129" t="inlineStr"/>
      <c r="B20" s="81" t="inlineStr"/>
      <c r="C20" s="81" t="inlineStr"/>
      <c r="D20" s="81" t="inlineStr"/>
      <c r="E20" s="81" t="inlineStr"/>
      <c r="F20" s="81" t="inlineStr"/>
      <c r="G20" s="81" t="inlineStr"/>
      <c r="H20" s="81" t="inlineStr"/>
      <c r="I20" s="81" t="inlineStr"/>
      <c r="J20" s="83" t="inlineStr"/>
      <c r="K20" s="84">
        <f>IF(A20="","",VLOOKUP(A20,'Master Data'!$A$19:$C$24,2,FALSE))</f>
        <v/>
      </c>
      <c r="L20" s="84">
        <f>IF(A20="","",VLOOKUP(A20,'Master Data'!$A$19:$C$24,3,FALSE))</f>
        <v/>
      </c>
      <c r="O20" s="81">
        <f>IF(A20="",0,COUNTIF(A$18:A19,A20))</f>
        <v/>
      </c>
      <c r="P20" s="81" t="n">
        <v>2</v>
      </c>
    </row>
    <row r="21">
      <c r="A21" s="123" t="inlineStr">
        <is>
          <t>SUBTOTAL</t>
        </is>
      </c>
      <c r="B21" s="130">
        <f>SUMPRODUCT((B18:B20="✓")*1,J18:J20,K18:K20)</f>
        <v/>
      </c>
      <c r="C21" s="130">
        <f>SUMPRODUCT((C18:C20="✓")*1,J18:J20,K18:K20)</f>
        <v/>
      </c>
      <c r="D21" s="130">
        <f>SUMPRODUCT((D18:D20="✓")*1,J18:J20,K18:K20)</f>
        <v/>
      </c>
      <c r="E21" s="130">
        <f>SUMPRODUCT((E18:E20="✓")*1,J18:J20,K18:K20)</f>
        <v/>
      </c>
      <c r="F21" s="130">
        <f>SUMPRODUCT((F18:F20="✓")*1,J18:J20,K18:K20)</f>
        <v/>
      </c>
      <c r="G21" s="130">
        <f>SUMPRODUCT((G18:G20="✓")*1,J18:J20,K18:K20)</f>
        <v/>
      </c>
      <c r="H21" s="130">
        <f>SUMPRODUCT((H18:H20="✓")*1,J18:J20,K18:K20)</f>
        <v/>
      </c>
      <c r="I21" s="130">
        <f>SUMPRODUCT((I18:I20="✓")*1,J18:J20,K18:K20)</f>
        <v/>
      </c>
      <c r="J21" s="114" t="inlineStr"/>
      <c r="K21" s="88">
        <f>SUMPRODUCT((J18:J20)*(K18:K20)*(COUNTIF(B18:I20,"✓")&gt;0)*1)</f>
        <v/>
      </c>
      <c r="L21" s="88">
        <f>SUMPRODUCT((J18:J20)*(L18:L20)*(COUNTIF(B18:I20,"✓")&gt;0)*1)</f>
        <v/>
      </c>
    </row>
    <row r="23">
      <c r="A23" s="128" t="inlineStr">
        <is>
          <t>🚐 TRANSPORT (1인 기준)</t>
        </is>
      </c>
      <c r="B23" s="77" t="n"/>
      <c r="C23" s="77" t="n"/>
      <c r="D23" s="77" t="n"/>
      <c r="E23" s="77" t="n"/>
      <c r="F23" s="77" t="n"/>
      <c r="G23" s="77" t="n"/>
      <c r="H23" s="77" t="n"/>
      <c r="I23" s="77" t="n"/>
      <c r="J23" s="77" t="n"/>
      <c r="K23" s="77" t="n"/>
      <c r="L23" s="77" t="n"/>
    </row>
    <row r="24">
      <c r="A24" s="119" t="inlineStr">
        <is>
          <t>Item (Select ▼)</t>
        </is>
      </c>
      <c r="B24" s="98" t="inlineStr">
        <is>
          <t>P1</t>
        </is>
      </c>
      <c r="C24" s="98" t="inlineStr">
        <is>
          <t>P2</t>
        </is>
      </c>
      <c r="D24" s="98" t="inlineStr">
        <is>
          <t>P3</t>
        </is>
      </c>
      <c r="E24" s="98" t="inlineStr">
        <is>
          <t>P4</t>
        </is>
      </c>
      <c r="F24" s="98" t="inlineStr">
        <is>
          <t>P5</t>
        </is>
      </c>
      <c r="G24" s="98" t="inlineStr">
        <is>
          <t>P6</t>
        </is>
      </c>
      <c r="H24" s="98" t="inlineStr">
        <is>
          <t>P7</t>
        </is>
      </c>
      <c r="I24" s="98" t="inlineStr">
        <is>
          <t>P8</t>
        </is>
      </c>
      <c r="J24" s="98" t="inlineStr">
        <is>
          <t>Qty</t>
        </is>
      </c>
      <c r="K24" s="98" t="inlineStr">
        <is>
          <t>Cost/P</t>
        </is>
      </c>
      <c r="L24" s="98" t="inlineStr">
        <is>
          <t>Sell/P</t>
        </is>
      </c>
    </row>
    <row r="25">
      <c r="A25" s="109" t="inlineStr">
        <is>
          <t>Driver/Guide + Van (일당)</t>
        </is>
      </c>
      <c r="B25" s="81" t="inlineStr"/>
      <c r="C25" s="81" t="inlineStr"/>
      <c r="D25" s="81" t="inlineStr"/>
      <c r="E25" s="81" t="inlineStr"/>
      <c r="F25" s="81" t="inlineStr"/>
      <c r="G25" s="81" t="inlineStr"/>
      <c r="H25" s="81" t="inlineStr"/>
      <c r="I25" s="81" t="inlineStr"/>
      <c r="J25" s="83" t="n">
        <v>3</v>
      </c>
      <c r="K25" s="84">
        <f>IF(A25="","",VLOOKUP(A25,'Master Data'!$A$28:$C$34,2,FALSE))</f>
        <v/>
      </c>
      <c r="L25" s="84">
        <f>IF(A25="","",VLOOKUP(A25,'Master Data'!$A$28:$C$34,3,FALSE))</f>
        <v/>
      </c>
      <c r="O25" s="81">
        <f>0</f>
        <v/>
      </c>
      <c r="P25" s="81" t="n">
        <v>3</v>
      </c>
    </row>
    <row r="26">
      <c r="A26" s="129" t="inlineStr"/>
      <c r="B26" s="81" t="inlineStr"/>
      <c r="C26" s="81" t="inlineStr"/>
      <c r="D26" s="81" t="inlineStr"/>
      <c r="E26" s="81" t="inlineStr"/>
      <c r="F26" s="81" t="inlineStr"/>
      <c r="G26" s="81" t="inlineStr"/>
      <c r="H26" s="81" t="inlineStr"/>
      <c r="I26" s="81" t="inlineStr"/>
      <c r="J26" s="83" t="inlineStr"/>
      <c r="K26" s="84">
        <f>IF(A26="","",VLOOKUP(A26,'Master Data'!$A$28:$C$34,2,FALSE))</f>
        <v/>
      </c>
      <c r="L26" s="84">
        <f>IF(A26="","",VLOOKUP(A26,'Master Data'!$A$28:$C$34,3,FALSE))</f>
        <v/>
      </c>
      <c r="O26" s="81">
        <f>IF(A26="",0,COUNTIF(A$25:A25,A26))</f>
        <v/>
      </c>
      <c r="P26" s="81" t="n">
        <v>3</v>
      </c>
    </row>
    <row r="27">
      <c r="A27" s="129" t="inlineStr"/>
      <c r="B27" s="81" t="inlineStr"/>
      <c r="C27" s="81" t="inlineStr"/>
      <c r="D27" s="81" t="inlineStr"/>
      <c r="E27" s="81" t="inlineStr"/>
      <c r="F27" s="81" t="inlineStr"/>
      <c r="G27" s="81" t="inlineStr"/>
      <c r="H27" s="81" t="inlineStr"/>
      <c r="I27" s="81" t="inlineStr"/>
      <c r="J27" s="83" t="inlineStr"/>
      <c r="K27" s="84">
        <f>IF(A27="","",VLOOKUP(A27,'Master Data'!$A$28:$C$34,2,FALSE))</f>
        <v/>
      </c>
      <c r="L27" s="84">
        <f>IF(A27="","",VLOOKUP(A27,'Master Data'!$A$28:$C$34,3,FALSE))</f>
        <v/>
      </c>
      <c r="O27" s="81">
        <f>IF(A27="",0,COUNTIF(A$25:A26,A27))</f>
        <v/>
      </c>
      <c r="P27" s="81" t="n">
        <v>3</v>
      </c>
    </row>
    <row r="28">
      <c r="A28" s="123" t="inlineStr">
        <is>
          <t>SUBTOTAL</t>
        </is>
      </c>
      <c r="B28" s="130">
        <f>SUMPRODUCT((B25:B27="✓")*1,J25:J27,K25:K27)</f>
        <v/>
      </c>
      <c r="C28" s="130">
        <f>SUMPRODUCT((C25:C27="✓")*1,J25:J27,K25:K27)</f>
        <v/>
      </c>
      <c r="D28" s="130">
        <f>SUMPRODUCT((D25:D27="✓")*1,J25:J27,K25:K27)</f>
        <v/>
      </c>
      <c r="E28" s="130">
        <f>SUMPRODUCT((E25:E27="✓")*1,J25:J27,K25:K27)</f>
        <v/>
      </c>
      <c r="F28" s="130">
        <f>SUMPRODUCT((F25:F27="✓")*1,J25:J27,K25:K27)</f>
        <v/>
      </c>
      <c r="G28" s="130">
        <f>SUMPRODUCT((G25:G27="✓")*1,J25:J27,K25:K27)</f>
        <v/>
      </c>
      <c r="H28" s="130">
        <f>SUMPRODUCT((H25:H27="✓")*1,J25:J27,K25:K27)</f>
        <v/>
      </c>
      <c r="I28" s="130">
        <f>SUMPRODUCT((I25:I27="✓")*1,J25:J27,K25:K27)</f>
        <v/>
      </c>
      <c r="J28" s="114" t="inlineStr"/>
      <c r="K28" s="88">
        <f>SUMPRODUCT((J25:J27)*(K25:K27)*(COUNTIF(B25:I27,"✓")&gt;0)*1)</f>
        <v/>
      </c>
      <c r="L28" s="88">
        <f>SUMPRODUCT((J25:J27)*(L25:L27)*(COUNTIF(B25:I27,"✓")&gt;0)*1)</f>
        <v/>
      </c>
    </row>
    <row r="30">
      <c r="A30" s="128" t="inlineStr">
        <is>
          <t>🍽️ MEALS (1인 1끼)</t>
        </is>
      </c>
      <c r="B30" s="77" t="n"/>
      <c r="C30" s="77" t="n"/>
      <c r="D30" s="77" t="n"/>
      <c r="E30" s="77" t="n"/>
      <c r="F30" s="77" t="n"/>
      <c r="G30" s="77" t="n"/>
      <c r="H30" s="77" t="n"/>
      <c r="I30" s="77" t="n"/>
      <c r="J30" s="77" t="n"/>
      <c r="K30" s="77" t="n"/>
      <c r="L30" s="77" t="n"/>
    </row>
    <row r="31">
      <c r="A31" s="119" t="inlineStr">
        <is>
          <t>Item (Select ▼)</t>
        </is>
      </c>
      <c r="B31" s="98" t="inlineStr">
        <is>
          <t>P1</t>
        </is>
      </c>
      <c r="C31" s="98" t="inlineStr">
        <is>
          <t>P2</t>
        </is>
      </c>
      <c r="D31" s="98" t="inlineStr">
        <is>
          <t>P3</t>
        </is>
      </c>
      <c r="E31" s="98" t="inlineStr">
        <is>
          <t>P4</t>
        </is>
      </c>
      <c r="F31" s="98" t="inlineStr">
        <is>
          <t>P5</t>
        </is>
      </c>
      <c r="G31" s="98" t="inlineStr">
        <is>
          <t>P6</t>
        </is>
      </c>
      <c r="H31" s="98" t="inlineStr">
        <is>
          <t>P7</t>
        </is>
      </c>
      <c r="I31" s="98" t="inlineStr">
        <is>
          <t>P8</t>
        </is>
      </c>
      <c r="J31" s="98" t="inlineStr">
        <is>
          <t>Qty</t>
        </is>
      </c>
      <c r="K31" s="98" t="inlineStr">
        <is>
          <t>Cost/P</t>
        </is>
      </c>
      <c r="L31" s="98" t="inlineStr">
        <is>
          <t>Sell/P</t>
        </is>
      </c>
    </row>
    <row r="32">
      <c r="A32" s="109" t="inlineStr">
        <is>
          <t>Breakfast (Hotel)</t>
        </is>
      </c>
      <c r="B32" s="81" t="inlineStr"/>
      <c r="C32" s="81" t="inlineStr"/>
      <c r="D32" s="81" t="inlineStr"/>
      <c r="E32" s="81" t="inlineStr"/>
      <c r="F32" s="81" t="inlineStr"/>
      <c r="G32" s="81" t="inlineStr"/>
      <c r="H32" s="81" t="inlineStr"/>
      <c r="I32" s="81" t="inlineStr"/>
      <c r="J32" s="83" t="n">
        <v>3</v>
      </c>
      <c r="K32" s="84">
        <f>IF(A32="","",VLOOKUP(A32,'Master Data'!$A$38:$C$46,2,FALSE))</f>
        <v/>
      </c>
      <c r="L32" s="84">
        <f>IF(A32="","",VLOOKUP(A32,'Master Data'!$A$38:$C$46,3,FALSE))</f>
        <v/>
      </c>
      <c r="O32" s="81">
        <f>0</f>
        <v/>
      </c>
      <c r="P32" s="81" t="n">
        <v>4</v>
      </c>
    </row>
    <row r="33">
      <c r="A33" s="108" t="inlineStr">
        <is>
          <t>Lunch</t>
        </is>
      </c>
      <c r="B33" s="81" t="inlineStr"/>
      <c r="C33" s="81" t="inlineStr"/>
      <c r="D33" s="81" t="inlineStr"/>
      <c r="E33" s="81" t="inlineStr"/>
      <c r="F33" s="81" t="inlineStr"/>
      <c r="G33" s="81" t="inlineStr"/>
      <c r="H33" s="81" t="inlineStr"/>
      <c r="I33" s="81" t="inlineStr"/>
      <c r="J33" s="83" t="n">
        <v>3</v>
      </c>
      <c r="K33" s="84">
        <f>IF(A33="","",VLOOKUP(A33,'Master Data'!$A$38:$C$46,2,FALSE))</f>
        <v/>
      </c>
      <c r="L33" s="84">
        <f>IF(A33="","",VLOOKUP(A33,'Master Data'!$A$38:$C$46,3,FALSE))</f>
        <v/>
      </c>
      <c r="O33" s="81">
        <f>IF(A33="",0,COUNTIF(A$32:A32,A33))</f>
        <v/>
      </c>
      <c r="P33" s="81" t="n">
        <v>4</v>
      </c>
    </row>
    <row r="34">
      <c r="A34" s="109" t="inlineStr">
        <is>
          <t>Dinner (Regular)</t>
        </is>
      </c>
      <c r="B34" s="81" t="inlineStr"/>
      <c r="C34" s="81" t="inlineStr"/>
      <c r="D34" s="81" t="inlineStr"/>
      <c r="E34" s="81" t="inlineStr"/>
      <c r="F34" s="81" t="inlineStr"/>
      <c r="G34" s="81" t="inlineStr"/>
      <c r="H34" s="81" t="inlineStr"/>
      <c r="I34" s="81" t="inlineStr"/>
      <c r="J34" s="83" t="n">
        <v>3</v>
      </c>
      <c r="K34" s="84">
        <f>IF(A34="","",VLOOKUP(A34,'Master Data'!$A$38:$C$46,2,FALSE))</f>
        <v/>
      </c>
      <c r="L34" s="84">
        <f>IF(A34="","",VLOOKUP(A34,'Master Data'!$A$38:$C$46,3,FALSE))</f>
        <v/>
      </c>
      <c r="O34" s="81">
        <f>IF(A34="",0,COUNTIF(A$32:A33,A34))</f>
        <v/>
      </c>
      <c r="P34" s="81" t="n">
        <v>4</v>
      </c>
    </row>
    <row r="35">
      <c r="A35" s="108" t="inlineStr">
        <is>
          <t>Exclusive Dinner (Michelin/Fine)</t>
        </is>
      </c>
      <c r="B35" s="81" t="inlineStr"/>
      <c r="C35" s="81" t="inlineStr"/>
      <c r="D35" s="81" t="inlineStr"/>
      <c r="E35" s="81" t="inlineStr"/>
      <c r="F35" s="81" t="inlineStr"/>
      <c r="G35" s="81" t="inlineStr"/>
      <c r="H35" s="81" t="inlineStr"/>
      <c r="I35" s="81" t="inlineStr"/>
      <c r="J35" s="83" t="n">
        <v>2</v>
      </c>
      <c r="K35" s="84">
        <f>IF(A35="","",VLOOKUP(A35,'Master Data'!$A$38:$C$46,2,FALSE))</f>
        <v/>
      </c>
      <c r="L35" s="84">
        <f>IF(A35="","",VLOOKUP(A35,'Master Data'!$A$38:$C$46,3,FALSE))</f>
        <v/>
      </c>
      <c r="O35" s="81">
        <f>IF(A35="",0,COUNTIF(A$32:A34,A35))</f>
        <v/>
      </c>
      <c r="P35" s="81" t="n">
        <v>4</v>
      </c>
    </row>
    <row r="36">
      <c r="A36" s="129" t="inlineStr"/>
      <c r="B36" s="81" t="inlineStr"/>
      <c r="C36" s="81" t="inlineStr"/>
      <c r="D36" s="81" t="inlineStr"/>
      <c r="E36" s="81" t="inlineStr"/>
      <c r="F36" s="81" t="inlineStr"/>
      <c r="G36" s="81" t="inlineStr"/>
      <c r="H36" s="81" t="inlineStr"/>
      <c r="I36" s="81" t="inlineStr"/>
      <c r="J36" s="83" t="inlineStr"/>
      <c r="K36" s="84">
        <f>IF(A36="","",VLOOKUP(A36,'Master Data'!$A$38:$C$46,2,FALSE))</f>
        <v/>
      </c>
      <c r="L36" s="84">
        <f>IF(A36="","",VLOOKUP(A36,'Master Data'!$A$38:$C$46,3,FALSE))</f>
        <v/>
      </c>
      <c r="O36" s="81">
        <f>IF(A36="",0,COUNTIF(A$32:A35,A36))</f>
        <v/>
      </c>
      <c r="P36" s="81" t="n">
        <v>4</v>
      </c>
    </row>
    <row r="37">
      <c r="A37" s="123" t="inlineStr">
        <is>
          <t>SUBTOTAL</t>
        </is>
      </c>
      <c r="B37" s="130">
        <f>SUMPRODUCT((B32:B36="✓")*1,J32:J36,K32:K36)</f>
        <v/>
      </c>
      <c r="C37" s="130">
        <f>SUMPRODUCT((C32:C36="✓")*1,J32:J36,K32:K36)</f>
        <v/>
      </c>
      <c r="D37" s="130">
        <f>SUMPRODUCT((D32:D36="✓")*1,J32:J36,K32:K36)</f>
        <v/>
      </c>
      <c r="E37" s="130">
        <f>SUMPRODUCT((E32:E36="✓")*1,J32:J36,K32:K36)</f>
        <v/>
      </c>
      <c r="F37" s="130">
        <f>SUMPRODUCT((F32:F36="✓")*1,J32:J36,K32:K36)</f>
        <v/>
      </c>
      <c r="G37" s="130">
        <f>SUMPRODUCT((G32:G36="✓")*1,J32:J36,K32:K36)</f>
        <v/>
      </c>
      <c r="H37" s="130">
        <f>SUMPRODUCT((H32:H36="✓")*1,J32:J36,K32:K36)</f>
        <v/>
      </c>
      <c r="I37" s="130">
        <f>SUMPRODUCT((I32:I36="✓")*1,J32:J36,K32:K36)</f>
        <v/>
      </c>
      <c r="J37" s="114" t="inlineStr"/>
      <c r="K37" s="88">
        <f>SUMPRODUCT((J32:J36)*(K32:K36)*(COUNTIF(B32:I36,"✓")&gt;0)*1)</f>
        <v/>
      </c>
      <c r="L37" s="88">
        <f>SUMPRODUCT((J32:J36)*(L32:L36)*(COUNTIF(B32:I36,"✓")&gt;0)*1)</f>
        <v/>
      </c>
    </row>
    <row r="39">
      <c r="A39" s="128" t="inlineStr">
        <is>
          <t>📦 OTHER (1인 1일)</t>
        </is>
      </c>
      <c r="B39" s="77" t="n"/>
      <c r="C39" s="77" t="n"/>
      <c r="D39" s="77" t="n"/>
      <c r="E39" s="77" t="n"/>
      <c r="F39" s="77" t="n"/>
      <c r="G39" s="77" t="n"/>
      <c r="H39" s="77" t="n"/>
      <c r="I39" s="77" t="n"/>
      <c r="J39" s="77" t="n"/>
      <c r="K39" s="77" t="n"/>
      <c r="L39" s="77" t="n"/>
    </row>
    <row r="40">
      <c r="A40" s="119" t="inlineStr">
        <is>
          <t>Item (Select ▼)</t>
        </is>
      </c>
      <c r="B40" s="98" t="inlineStr">
        <is>
          <t>P1</t>
        </is>
      </c>
      <c r="C40" s="98" t="inlineStr">
        <is>
          <t>P2</t>
        </is>
      </c>
      <c r="D40" s="98" t="inlineStr">
        <is>
          <t>P3</t>
        </is>
      </c>
      <c r="E40" s="98" t="inlineStr">
        <is>
          <t>P4</t>
        </is>
      </c>
      <c r="F40" s="98" t="inlineStr">
        <is>
          <t>P5</t>
        </is>
      </c>
      <c r="G40" s="98" t="inlineStr">
        <is>
          <t>P6</t>
        </is>
      </c>
      <c r="H40" s="98" t="inlineStr">
        <is>
          <t>P7</t>
        </is>
      </c>
      <c r="I40" s="98" t="inlineStr">
        <is>
          <t>P8</t>
        </is>
      </c>
      <c r="J40" s="98" t="inlineStr">
        <is>
          <t>Qty</t>
        </is>
      </c>
      <c r="K40" s="98" t="inlineStr">
        <is>
          <t>Cost/P</t>
        </is>
      </c>
      <c r="L40" s="98" t="inlineStr">
        <is>
          <t>Sell/P</t>
        </is>
      </c>
    </row>
    <row r="41">
      <c r="A41" s="109" t="inlineStr">
        <is>
          <t>Insurance / Tips / Contingency</t>
        </is>
      </c>
      <c r="B41" s="81" t="inlineStr"/>
      <c r="C41" s="81" t="inlineStr"/>
      <c r="D41" s="81" t="inlineStr"/>
      <c r="E41" s="81" t="inlineStr"/>
      <c r="F41" s="81" t="inlineStr"/>
      <c r="G41" s="81" t="inlineStr"/>
      <c r="H41" s="81" t="inlineStr"/>
      <c r="I41" s="81" t="inlineStr"/>
      <c r="J41" s="83" t="n">
        <v>4</v>
      </c>
      <c r="K41" s="84">
        <f>IF(A41="","",VLOOKUP(A41,'Master Data'!$A$50:$C$56,2,FALSE))</f>
        <v/>
      </c>
      <c r="L41" s="84">
        <f>IF(A41="","",VLOOKUP(A41,'Master Data'!$A$50:$C$56,3,FALSE))</f>
        <v/>
      </c>
      <c r="O41" s="81">
        <f>0</f>
        <v/>
      </c>
      <c r="P41" s="81" t="n">
        <v>5</v>
      </c>
    </row>
    <row r="42">
      <c r="A42" s="129" t="inlineStr"/>
      <c r="B42" s="81" t="inlineStr"/>
      <c r="C42" s="81" t="inlineStr"/>
      <c r="D42" s="81" t="inlineStr"/>
      <c r="E42" s="81" t="inlineStr"/>
      <c r="F42" s="81" t="inlineStr"/>
      <c r="G42" s="81" t="inlineStr"/>
      <c r="H42" s="81" t="inlineStr"/>
      <c r="I42" s="81" t="inlineStr"/>
      <c r="J42" s="83" t="inlineStr"/>
      <c r="K42" s="84">
        <f>IF(A42="","",VLOOKUP(A42,'Master Data'!$A$50:$C$56,2,FALSE))</f>
        <v/>
      </c>
      <c r="L42" s="84">
        <f>IF(A42="","",VLOOKUP(A42,'Master Data'!$A$50:$C$56,3,FALSE))</f>
        <v/>
      </c>
      <c r="O42" s="81">
        <f>IF(A42="",0,COUNTIF(A$41:A41,A42))</f>
        <v/>
      </c>
      <c r="P42" s="81" t="n">
        <v>5</v>
      </c>
    </row>
    <row r="43">
      <c r="A43" s="129" t="inlineStr"/>
      <c r="B43" s="81" t="inlineStr"/>
      <c r="C43" s="81" t="inlineStr"/>
      <c r="D43" s="81" t="inlineStr"/>
      <c r="E43" s="81" t="inlineStr"/>
      <c r="F43" s="81" t="inlineStr"/>
      <c r="G43" s="81" t="inlineStr"/>
      <c r="H43" s="81" t="inlineStr"/>
      <c r="I43" s="81" t="inlineStr"/>
      <c r="J43" s="83" t="inlineStr"/>
      <c r="K43" s="84">
        <f>IF(A43="","",VLOOKUP(A43,'Master Data'!$A$50:$C$56,2,FALSE))</f>
        <v/>
      </c>
      <c r="L43" s="84">
        <f>IF(A43="","",VLOOKUP(A43,'Master Data'!$A$50:$C$56,3,FALSE))</f>
        <v/>
      </c>
      <c r="O43" s="81">
        <f>IF(A43="",0,COUNTIF(A$41:A42,A43))</f>
        <v/>
      </c>
      <c r="P43" s="81" t="n">
        <v>5</v>
      </c>
    </row>
    <row r="44">
      <c r="A44" s="123" t="inlineStr">
        <is>
          <t>SUBTOTAL</t>
        </is>
      </c>
      <c r="B44" s="130">
        <f>SUMPRODUCT((B41:B43="✓")*1,J41:J43,K41:K43)</f>
        <v/>
      </c>
      <c r="C44" s="130">
        <f>SUMPRODUCT((C41:C43="✓")*1,J41:J43,K41:K43)</f>
        <v/>
      </c>
      <c r="D44" s="130">
        <f>SUMPRODUCT((D41:D43="✓")*1,J41:J43,K41:K43)</f>
        <v/>
      </c>
      <c r="E44" s="130">
        <f>SUMPRODUCT((E41:E43="✓")*1,J41:J43,K41:K43)</f>
        <v/>
      </c>
      <c r="F44" s="130">
        <f>SUMPRODUCT((F41:F43="✓")*1,J41:J43,K41:K43)</f>
        <v/>
      </c>
      <c r="G44" s="130">
        <f>SUMPRODUCT((G41:G43="✓")*1,J41:J43,K41:K43)</f>
        <v/>
      </c>
      <c r="H44" s="130">
        <f>SUMPRODUCT((H41:H43="✓")*1,J41:J43,K41:K43)</f>
        <v/>
      </c>
      <c r="I44" s="130">
        <f>SUMPRODUCT((I41:I43="✓")*1,J41:J43,K41:K43)</f>
        <v/>
      </c>
      <c r="J44" s="114" t="inlineStr"/>
      <c r="K44" s="88">
        <f>SUMPRODUCT((J41:J43)*(K41:K43)*(COUNTIF(B41:I43,"✓")&gt;0)*1)</f>
        <v/>
      </c>
      <c r="L44" s="88">
        <f>SUMPRODUCT((J41:J43)*(L41:L43)*(COUNTIF(B41:I43,"✓")&gt;0)*1)</f>
        <v/>
      </c>
    </row>
    <row r="46">
      <c r="A46" s="128" t="inlineStr">
        <is>
          <t>🎯 ACTIVITIES &amp; EXPERIENCES (1인 1회)</t>
        </is>
      </c>
      <c r="B46" s="77" t="n"/>
      <c r="C46" s="77" t="n"/>
      <c r="D46" s="77" t="n"/>
      <c r="E46" s="77" t="n"/>
      <c r="F46" s="77" t="n"/>
      <c r="G46" s="77" t="n"/>
      <c r="H46" s="77" t="n"/>
      <c r="I46" s="77" t="n"/>
      <c r="J46" s="77" t="n"/>
      <c r="K46" s="77" t="n"/>
      <c r="L46" s="77" t="n"/>
    </row>
    <row r="47">
      <c r="A47" s="119" t="inlineStr">
        <is>
          <t>Item (Select ▼)</t>
        </is>
      </c>
      <c r="B47" s="98" t="inlineStr">
        <is>
          <t>P1</t>
        </is>
      </c>
      <c r="C47" s="98" t="inlineStr">
        <is>
          <t>P2</t>
        </is>
      </c>
      <c r="D47" s="98" t="inlineStr">
        <is>
          <t>P3</t>
        </is>
      </c>
      <c r="E47" s="98" t="inlineStr">
        <is>
          <t>P4</t>
        </is>
      </c>
      <c r="F47" s="98" t="inlineStr">
        <is>
          <t>P5</t>
        </is>
      </c>
      <c r="G47" s="98" t="inlineStr">
        <is>
          <t>P6</t>
        </is>
      </c>
      <c r="H47" s="98" t="inlineStr">
        <is>
          <t>P7</t>
        </is>
      </c>
      <c r="I47" s="98" t="inlineStr">
        <is>
          <t>P8</t>
        </is>
      </c>
      <c r="J47" s="98" t="inlineStr">
        <is>
          <t>Qty</t>
        </is>
      </c>
      <c r="K47" s="98" t="inlineStr">
        <is>
          <t>Cost/P</t>
        </is>
      </c>
      <c r="L47" s="98" t="inlineStr">
        <is>
          <t>Sell/P</t>
        </is>
      </c>
    </row>
    <row r="48">
      <c r="A48" s="109" t="inlineStr">
        <is>
          <t>NBA/MLB Game (Ticket)</t>
        </is>
      </c>
      <c r="B48" s="81" t="inlineStr"/>
      <c r="C48" s="81" t="inlineStr"/>
      <c r="D48" s="81" t="inlineStr"/>
      <c r="E48" s="81" t="inlineStr"/>
      <c r="F48" s="81" t="inlineStr"/>
      <c r="G48" s="81" t="inlineStr"/>
      <c r="H48" s="81" t="inlineStr"/>
      <c r="I48" s="81" t="inlineStr"/>
      <c r="J48" s="83" t="n">
        <v>1</v>
      </c>
      <c r="K48" s="84">
        <f>IF(A48="","",VLOOKUP(A48,'Master Data'!$A$86:$C$94,2,FALSE))</f>
        <v/>
      </c>
      <c r="L48" s="84">
        <f>IF(A48="","",VLOOKUP(A48,'Master Data'!$A$86:$C$94,3,FALSE))</f>
        <v/>
      </c>
      <c r="O48" s="81">
        <f>0</f>
        <v/>
      </c>
      <c r="P48" s="81" t="n">
        <v>6</v>
      </c>
    </row>
    <row r="49">
      <c r="A49" s="108" t="inlineStr">
        <is>
          <t>Sports Bar Experience</t>
        </is>
      </c>
      <c r="B49" s="81" t="inlineStr"/>
      <c r="C49" s="81" t="inlineStr"/>
      <c r="D49" s="81" t="inlineStr"/>
      <c r="E49" s="81" t="inlineStr"/>
      <c r="F49" s="81" t="inlineStr"/>
      <c r="G49" s="81" t="inlineStr"/>
      <c r="H49" s="81" t="inlineStr"/>
      <c r="I49" s="81" t="inlineStr"/>
      <c r="J49" s="83" t="n">
        <v>1</v>
      </c>
      <c r="K49" s="84">
        <f>IF(A49="","",VLOOKUP(A49,'Master Data'!$A$86:$C$94,2,FALSE))</f>
        <v/>
      </c>
      <c r="L49" s="84">
        <f>IF(A49="","",VLOOKUP(A49,'Master Data'!$A$86:$C$94,3,FALSE))</f>
        <v/>
      </c>
      <c r="O49" s="81">
        <f>IF(A49="",0,COUNTIF(A$48:A48,A49))</f>
        <v/>
      </c>
      <c r="P49" s="81" t="n">
        <v>6</v>
      </c>
    </row>
    <row r="50">
      <c r="A50" s="109" t="inlineStr">
        <is>
          <t>Local Hiking (Griffith/Runyon)</t>
        </is>
      </c>
      <c r="B50" s="81" t="inlineStr"/>
      <c r="C50" s="81" t="inlineStr"/>
      <c r="D50" s="81" t="inlineStr"/>
      <c r="E50" s="81" t="inlineStr"/>
      <c r="F50" s="81" t="inlineStr"/>
      <c r="G50" s="81" t="inlineStr"/>
      <c r="H50" s="81" t="inlineStr"/>
      <c r="I50" s="81" t="inlineStr"/>
      <c r="J50" s="83" t="n">
        <v>1</v>
      </c>
      <c r="K50" s="84">
        <f>IF(A50="","",VLOOKUP(A50,'Master Data'!$A$86:$C$94,2,FALSE))</f>
        <v/>
      </c>
      <c r="L50" s="84">
        <f>IF(A50="","",VLOOKUP(A50,'Master Data'!$A$86:$C$94,3,FALSE))</f>
        <v/>
      </c>
      <c r="O50" s="81">
        <f>IF(A50="",0,COUNTIF(A$48:A49,A50))</f>
        <v/>
      </c>
      <c r="P50" s="81" t="n">
        <v>6</v>
      </c>
    </row>
    <row r="51">
      <c r="A51" s="108" t="inlineStr">
        <is>
          <t>Beach/Surf Lesson</t>
        </is>
      </c>
      <c r="B51" s="81" t="inlineStr"/>
      <c r="C51" s="81" t="inlineStr"/>
      <c r="D51" s="81" t="inlineStr"/>
      <c r="E51" s="81" t="inlineStr"/>
      <c r="F51" s="81" t="inlineStr"/>
      <c r="G51" s="81" t="inlineStr"/>
      <c r="H51" s="81" t="inlineStr"/>
      <c r="I51" s="81" t="inlineStr"/>
      <c r="J51" s="83" t="n">
        <v>1</v>
      </c>
      <c r="K51" s="84">
        <f>IF(A51="","",VLOOKUP(A51,'Master Data'!$A$86:$C$94,2,FALSE))</f>
        <v/>
      </c>
      <c r="L51" s="84">
        <f>IF(A51="","",VLOOKUP(A51,'Master Data'!$A$86:$C$94,3,FALSE))</f>
        <v/>
      </c>
      <c r="O51" s="81">
        <f>IF(A51="",0,COUNTIF(A$48:A50,A51))</f>
        <v/>
      </c>
      <c r="P51" s="81" t="n">
        <v>6</v>
      </c>
    </row>
    <row r="52">
      <c r="A52" s="129" t="inlineStr"/>
      <c r="B52" s="81" t="inlineStr"/>
      <c r="C52" s="81" t="inlineStr"/>
      <c r="D52" s="81" t="inlineStr"/>
      <c r="E52" s="81" t="inlineStr"/>
      <c r="F52" s="81" t="inlineStr"/>
      <c r="G52" s="81" t="inlineStr"/>
      <c r="H52" s="81" t="inlineStr"/>
      <c r="I52" s="81" t="inlineStr"/>
      <c r="J52" s="83" t="inlineStr"/>
      <c r="K52" s="84">
        <f>IF(A52="","",VLOOKUP(A52,'Master Data'!$A$86:$C$94,2,FALSE))</f>
        <v/>
      </c>
      <c r="L52" s="84">
        <f>IF(A52="","",VLOOKUP(A52,'Master Data'!$A$86:$C$94,3,FALSE))</f>
        <v/>
      </c>
      <c r="O52" s="81">
        <f>IF(A52="",0,COUNTIF(A$48:A51,A52))</f>
        <v/>
      </c>
      <c r="P52" s="81" t="n">
        <v>6</v>
      </c>
    </row>
    <row r="53">
      <c r="A53" s="129" t="inlineStr"/>
      <c r="B53" s="81" t="inlineStr"/>
      <c r="C53" s="81" t="inlineStr"/>
      <c r="D53" s="81" t="inlineStr"/>
      <c r="E53" s="81" t="inlineStr"/>
      <c r="F53" s="81" t="inlineStr"/>
      <c r="G53" s="81" t="inlineStr"/>
      <c r="H53" s="81" t="inlineStr"/>
      <c r="I53" s="81" t="inlineStr"/>
      <c r="J53" s="83" t="inlineStr"/>
      <c r="K53" s="84">
        <f>IF(A53="","",VLOOKUP(A53,'Master Data'!$A$86:$C$94,2,FALSE))</f>
        <v/>
      </c>
      <c r="L53" s="84">
        <f>IF(A53="","",VLOOKUP(A53,'Master Data'!$A$86:$C$94,3,FALSE))</f>
        <v/>
      </c>
      <c r="O53" s="81">
        <f>IF(A53="",0,COUNTIF(A$48:A52,A53))</f>
        <v/>
      </c>
      <c r="P53" s="81" t="n">
        <v>6</v>
      </c>
    </row>
    <row r="54">
      <c r="A54" s="129" t="inlineStr"/>
      <c r="B54" s="81" t="inlineStr"/>
      <c r="C54" s="81" t="inlineStr"/>
      <c r="D54" s="81" t="inlineStr"/>
      <c r="E54" s="81" t="inlineStr"/>
      <c r="F54" s="81" t="inlineStr"/>
      <c r="G54" s="81" t="inlineStr"/>
      <c r="H54" s="81" t="inlineStr"/>
      <c r="I54" s="81" t="inlineStr"/>
      <c r="J54" s="83" t="inlineStr"/>
      <c r="K54" s="84">
        <f>IF(A54="","",VLOOKUP(A54,'Master Data'!$A$86:$C$94,2,FALSE))</f>
        <v/>
      </c>
      <c r="L54" s="84">
        <f>IF(A54="","",VLOOKUP(A54,'Master Data'!$A$86:$C$94,3,FALSE))</f>
        <v/>
      </c>
      <c r="O54" s="81">
        <f>IF(A54="",0,COUNTIF(A$48:A53,A54))</f>
        <v/>
      </c>
      <c r="P54" s="81" t="n">
        <v>6</v>
      </c>
    </row>
    <row r="55">
      <c r="A55" s="129" t="inlineStr"/>
      <c r="B55" s="81" t="inlineStr"/>
      <c r="C55" s="81" t="inlineStr"/>
      <c r="D55" s="81" t="inlineStr"/>
      <c r="E55" s="81" t="inlineStr"/>
      <c r="F55" s="81" t="inlineStr"/>
      <c r="G55" s="81" t="inlineStr"/>
      <c r="H55" s="81" t="inlineStr"/>
      <c r="I55" s="81" t="inlineStr"/>
      <c r="J55" s="83" t="inlineStr"/>
      <c r="K55" s="84">
        <f>IF(A55="","",VLOOKUP(A55,'Master Data'!$A$86:$C$94,2,FALSE))</f>
        <v/>
      </c>
      <c r="L55" s="84">
        <f>IF(A55="","",VLOOKUP(A55,'Master Data'!$A$86:$C$94,3,FALSE))</f>
        <v/>
      </c>
      <c r="O55" s="81">
        <f>IF(A55="",0,COUNTIF(A$48:A54,A55))</f>
        <v/>
      </c>
      <c r="P55" s="81" t="n">
        <v>6</v>
      </c>
    </row>
    <row r="56">
      <c r="A56" s="129" t="inlineStr"/>
      <c r="B56" s="81" t="inlineStr"/>
      <c r="C56" s="81" t="inlineStr"/>
      <c r="D56" s="81" t="inlineStr"/>
      <c r="E56" s="81" t="inlineStr"/>
      <c r="F56" s="81" t="inlineStr"/>
      <c r="G56" s="81" t="inlineStr"/>
      <c r="H56" s="81" t="inlineStr"/>
      <c r="I56" s="81" t="inlineStr"/>
      <c r="J56" s="83" t="inlineStr"/>
      <c r="K56" s="84">
        <f>IF(A56="","",VLOOKUP(A56,'Master Data'!$A$86:$C$94,2,FALSE))</f>
        <v/>
      </c>
      <c r="L56" s="84">
        <f>IF(A56="","",VLOOKUP(A56,'Master Data'!$A$86:$C$94,3,FALSE))</f>
        <v/>
      </c>
      <c r="O56" s="81">
        <f>IF(A56="",0,COUNTIF(A$48:A55,A56))</f>
        <v/>
      </c>
      <c r="P56" s="81" t="n">
        <v>6</v>
      </c>
    </row>
    <row r="57">
      <c r="A57" s="123" t="inlineStr">
        <is>
          <t>SUBTOTAL</t>
        </is>
      </c>
      <c r="B57" s="130">
        <f>SUMPRODUCT((B48:B56="✓")*1,J48:J56,K48:K56)</f>
        <v/>
      </c>
      <c r="C57" s="130">
        <f>SUMPRODUCT((C48:C56="✓")*1,J48:J56,K48:K56)</f>
        <v/>
      </c>
      <c r="D57" s="130">
        <f>SUMPRODUCT((D48:D56="✓")*1,J48:J56,K48:K56)</f>
        <v/>
      </c>
      <c r="E57" s="130">
        <f>SUMPRODUCT((E48:E56="✓")*1,J48:J56,K48:K56)</f>
        <v/>
      </c>
      <c r="F57" s="130">
        <f>SUMPRODUCT((F48:F56="✓")*1,J48:J56,K48:K56)</f>
        <v/>
      </c>
      <c r="G57" s="130">
        <f>SUMPRODUCT((G48:G56="✓")*1,J48:J56,K48:K56)</f>
        <v/>
      </c>
      <c r="H57" s="130">
        <f>SUMPRODUCT((H48:H56="✓")*1,J48:J56,K48:K56)</f>
        <v/>
      </c>
      <c r="I57" s="130">
        <f>SUMPRODUCT((I48:I56="✓")*1,J48:J56,K48:K56)</f>
        <v/>
      </c>
      <c r="J57" s="114" t="inlineStr"/>
      <c r="K57" s="88">
        <f>SUMPRODUCT((J48:J56)*(K48:K56)*(COUNTIF(B48:I56,"✓")&gt;0)*1)</f>
        <v/>
      </c>
      <c r="L57" s="88">
        <f>SUMPRODUCT((J48:J56)*(L48:L56)*(COUNTIF(B48:I56,"✓")&gt;0)*1)</f>
        <v/>
      </c>
    </row>
    <row r="60">
      <c r="A60" s="103" t="inlineStr">
        <is>
          <t>👤 PER PERSON TOTALS</t>
        </is>
      </c>
      <c r="B60" s="104" t="n"/>
      <c r="C60" s="104" t="n"/>
      <c r="D60" s="104" t="n"/>
      <c r="E60" s="104" t="n"/>
      <c r="F60" s="104" t="n"/>
      <c r="G60" s="104" t="n"/>
      <c r="H60" s="104" t="n"/>
      <c r="I60" s="104" t="n"/>
      <c r="J60" s="104" t="n"/>
      <c r="K60" s="104" t="n"/>
      <c r="L60" s="104" t="n"/>
    </row>
    <row r="61">
      <c r="A61" s="98" t="inlineStr">
        <is>
          <t>Person</t>
        </is>
      </c>
      <c r="B61" s="98" t="inlineStr">
        <is>
          <t>Total Cost</t>
        </is>
      </c>
      <c r="C61" s="98" t="inlineStr">
        <is>
          <t>Total Sell</t>
        </is>
      </c>
      <c r="D61" s="98" t="inlineStr">
        <is>
          <t>Margin</t>
        </is>
      </c>
      <c r="E61" s="98" t="inlineStr">
        <is>
          <t>Margin%</t>
        </is>
      </c>
    </row>
    <row r="62">
      <c r="A62" s="108" t="inlineStr">
        <is>
          <t>참가자1</t>
        </is>
      </c>
      <c r="B62" s="131">
        <f>SUMPRODUCT((B9:B13="✓")*1,J9:J13,K9:K13)+SUMPRODUCT((B18:B20="✓")*1,J18:J20,K18:K20)+SUMPRODUCT((B25:B27="✓")*1,J25:J27,K25:K27)+SUMPRODUCT((B32:B36="✓")*1,J32:J36,K32:K36)+SUMPRODUCT((B41:B43="✓")*1,J41:J43,K41:K43)+SUMPRODUCT((B48:B56="✓")*1,J48:J56,K48:K56)</f>
        <v/>
      </c>
      <c r="C62" s="131">
        <f>SUMPRODUCT((B9:B13="✓")*1,J9:J13,L9:L13)+SUMPRODUCT((B18:B20="✓")*1,J18:J20,L18:L20)+SUMPRODUCT((B25:B27="✓")*1,J25:J27,L25:L27)+SUMPRODUCT((B32:B36="✓")*1,J32:J36,L32:L36)+SUMPRODUCT((B41:B43="✓")*1,J41:J43,L41:L43)+SUMPRODUCT((B48:B56="✓")*1,J48:J56,L48:L56)</f>
        <v/>
      </c>
      <c r="D62" s="110">
        <f>C62-B62</f>
        <v/>
      </c>
      <c r="E62" s="132">
        <f>IF(C62&gt;0,D62/C62,0)</f>
        <v/>
      </c>
    </row>
    <row r="63">
      <c r="A63" s="108" t="inlineStr">
        <is>
          <t>참가자2</t>
        </is>
      </c>
      <c r="B63" s="131">
        <f>SUMPRODUCT((C9:C13="✓")*1,J9:J13,K9:K13)+SUMPRODUCT((C18:C20="✓")*1,J18:J20,K18:K20)+SUMPRODUCT((C25:C27="✓")*1,J25:J27,K25:K27)+SUMPRODUCT((C32:C36="✓")*1,J32:J36,K32:K36)+SUMPRODUCT((C41:C43="✓")*1,J41:J43,K41:K43)+SUMPRODUCT((C48:C56="✓")*1,J48:J56,K48:K56)</f>
        <v/>
      </c>
      <c r="C63" s="131">
        <f>SUMPRODUCT((C9:C13="✓")*1,J9:J13,L9:L13)+SUMPRODUCT((C18:C20="✓")*1,J18:J20,L18:L20)+SUMPRODUCT((C25:C27="✓")*1,J25:J27,L25:L27)+SUMPRODUCT((C32:C36="✓")*1,J32:J36,L32:L36)+SUMPRODUCT((C41:C43="✓")*1,J41:J43,L41:L43)+SUMPRODUCT((C48:C56="✓")*1,J48:J56,L48:L56)</f>
        <v/>
      </c>
      <c r="D63" s="110">
        <f>C63-B63</f>
        <v/>
      </c>
      <c r="E63" s="132">
        <f>IF(C63&gt;0,D63/C63,0)</f>
        <v/>
      </c>
    </row>
    <row r="64">
      <c r="A64" s="108" t="inlineStr">
        <is>
          <t>참가자3</t>
        </is>
      </c>
      <c r="B64" s="131">
        <f>SUMPRODUCT((D9:D13="✓")*1,J9:J13,K9:K13)+SUMPRODUCT((D18:D20="✓")*1,J18:J20,K18:K20)+SUMPRODUCT((D25:D27="✓")*1,J25:J27,K25:K27)+SUMPRODUCT((D32:D36="✓")*1,J32:J36,K32:K36)+SUMPRODUCT((D41:D43="✓")*1,J41:J43,K41:K43)+SUMPRODUCT((D48:D56="✓")*1,J48:J56,K48:K56)</f>
        <v/>
      </c>
      <c r="C64" s="131">
        <f>SUMPRODUCT((D9:D13="✓")*1,J9:J13,L9:L13)+SUMPRODUCT((D18:D20="✓")*1,J18:J20,L18:L20)+SUMPRODUCT((D25:D27="✓")*1,J25:J27,L25:L27)+SUMPRODUCT((D32:D36="✓")*1,J32:J36,L32:L36)+SUMPRODUCT((D41:D43="✓")*1,J41:J43,L41:L43)+SUMPRODUCT((D48:D56="✓")*1,J48:J56,L48:L56)</f>
        <v/>
      </c>
      <c r="D64" s="110">
        <f>C64-B64</f>
        <v/>
      </c>
      <c r="E64" s="132">
        <f>IF(C64&gt;0,D64/C64,0)</f>
        <v/>
      </c>
    </row>
    <row r="65">
      <c r="A65" s="108" t="inlineStr">
        <is>
          <t>참가자4</t>
        </is>
      </c>
      <c r="B65" s="131">
        <f>SUMPRODUCT((E9:E13="✓")*1,J9:J13,K9:K13)+SUMPRODUCT((E18:E20="✓")*1,J18:J20,K18:K20)+SUMPRODUCT((E25:E27="✓")*1,J25:J27,K25:K27)+SUMPRODUCT((E32:E36="✓")*1,J32:J36,K32:K36)+SUMPRODUCT((E41:E43="✓")*1,J41:J43,K41:K43)+SUMPRODUCT((E48:E56="✓")*1,J48:J56,K48:K56)</f>
        <v/>
      </c>
      <c r="C65" s="131">
        <f>SUMPRODUCT((E9:E13="✓")*1,J9:J13,L9:L13)+SUMPRODUCT((E18:E20="✓")*1,J18:J20,L18:L20)+SUMPRODUCT((E25:E27="✓")*1,J25:J27,L25:L27)+SUMPRODUCT((E32:E36="✓")*1,J32:J36,L32:L36)+SUMPRODUCT((E41:E43="✓")*1,J41:J43,L41:L43)+SUMPRODUCT((E48:E56="✓")*1,J48:J56,L48:L56)</f>
        <v/>
      </c>
      <c r="D65" s="110">
        <f>C65-B65</f>
        <v/>
      </c>
      <c r="E65" s="132">
        <f>IF(C65&gt;0,D65/C65,0)</f>
        <v/>
      </c>
    </row>
    <row r="66">
      <c r="A66" s="108" t="inlineStr">
        <is>
          <t>참가자5</t>
        </is>
      </c>
      <c r="B66" s="131">
        <f>SUMPRODUCT((F9:F13="✓")*1,J9:J13,K9:K13)+SUMPRODUCT((F18:F20="✓")*1,J18:J20,K18:K20)+SUMPRODUCT((F25:F27="✓")*1,J25:J27,K25:K27)+SUMPRODUCT((F32:F36="✓")*1,J32:J36,K32:K36)+SUMPRODUCT((F41:F43="✓")*1,J41:J43,K41:K43)+SUMPRODUCT((F48:F56="✓")*1,J48:J56,K48:K56)</f>
        <v/>
      </c>
      <c r="C66" s="131">
        <f>SUMPRODUCT((F9:F13="✓")*1,J9:J13,L9:L13)+SUMPRODUCT((F18:F20="✓")*1,J18:J20,L18:L20)+SUMPRODUCT((F25:F27="✓")*1,J25:J27,L25:L27)+SUMPRODUCT((F32:F36="✓")*1,J32:J36,L32:L36)+SUMPRODUCT((F41:F43="✓")*1,J41:J43,L41:L43)+SUMPRODUCT((F48:F56="✓")*1,J48:J56,L48:L56)</f>
        <v/>
      </c>
      <c r="D66" s="110">
        <f>C66-B66</f>
        <v/>
      </c>
      <c r="E66" s="132">
        <f>IF(C66&gt;0,D66/C66,0)</f>
        <v/>
      </c>
    </row>
    <row r="67">
      <c r="A67" s="108" t="inlineStr">
        <is>
          <t>참가자6</t>
        </is>
      </c>
      <c r="B67" s="131">
        <f>SUMPRODUCT((G9:G13="✓")*1,J9:J13,K9:K13)+SUMPRODUCT((G18:G20="✓")*1,J18:J20,K18:K20)+SUMPRODUCT((G25:G27="✓")*1,J25:J27,K25:K27)+SUMPRODUCT((G32:G36="✓")*1,J32:J36,K32:K36)+SUMPRODUCT((G41:G43="✓")*1,J41:J43,K41:K43)+SUMPRODUCT((G48:G56="✓")*1,J48:J56,K48:K56)</f>
        <v/>
      </c>
      <c r="C67" s="131">
        <f>SUMPRODUCT((G9:G13="✓")*1,J9:J13,L9:L13)+SUMPRODUCT((G18:G20="✓")*1,J18:J20,L18:L20)+SUMPRODUCT((G25:G27="✓")*1,J25:J27,L25:L27)+SUMPRODUCT((G32:G36="✓")*1,J32:J36,L32:L36)+SUMPRODUCT((G41:G43="✓")*1,J41:J43,L41:L43)+SUMPRODUCT((G48:G56="✓")*1,J48:J56,L48:L56)</f>
        <v/>
      </c>
      <c r="D67" s="110">
        <f>C67-B67</f>
        <v/>
      </c>
      <c r="E67" s="132">
        <f>IF(C67&gt;0,D67/C67,0)</f>
        <v/>
      </c>
    </row>
    <row r="68">
      <c r="A68" s="108" t="inlineStr">
        <is>
          <t>참가자7</t>
        </is>
      </c>
      <c r="B68" s="131">
        <f>SUMPRODUCT((H9:H13="✓")*1,J9:J13,K9:K13)+SUMPRODUCT((H18:H20="✓")*1,J18:J20,K18:K20)+SUMPRODUCT((H25:H27="✓")*1,J25:J27,K25:K27)+SUMPRODUCT((H32:H36="✓")*1,J32:J36,K32:K36)+SUMPRODUCT((H41:H43="✓")*1,J41:J43,K41:K43)+SUMPRODUCT((H48:H56="✓")*1,J48:J56,K48:K56)</f>
        <v/>
      </c>
      <c r="C68" s="131">
        <f>SUMPRODUCT((H9:H13="✓")*1,J9:J13,L9:L13)+SUMPRODUCT((H18:H20="✓")*1,J18:J20,L18:L20)+SUMPRODUCT((H25:H27="✓")*1,J25:J27,L25:L27)+SUMPRODUCT((H32:H36="✓")*1,J32:J36,L32:L36)+SUMPRODUCT((H41:H43="✓")*1,J41:J43,L41:L43)+SUMPRODUCT((H48:H56="✓")*1,J48:J56,L48:L56)</f>
        <v/>
      </c>
      <c r="D68" s="110">
        <f>C68-B68</f>
        <v/>
      </c>
      <c r="E68" s="132">
        <f>IF(C68&gt;0,D68/C68,0)</f>
        <v/>
      </c>
    </row>
    <row r="69">
      <c r="A69" s="108" t="inlineStr">
        <is>
          <t>참가자8</t>
        </is>
      </c>
      <c r="B69" s="131">
        <f>SUMPRODUCT((I9:I13="✓")*1,J9:J13,K9:K13)+SUMPRODUCT((I18:I20="✓")*1,J18:J20,K18:K20)+SUMPRODUCT((I25:I27="✓")*1,J25:J27,K25:K27)+SUMPRODUCT((I32:I36="✓")*1,J32:J36,K32:K36)+SUMPRODUCT((I41:I43="✓")*1,J41:J43,K41:K43)+SUMPRODUCT((I48:I56="✓")*1,J48:J56,K48:K56)</f>
        <v/>
      </c>
      <c r="C69" s="131">
        <f>SUMPRODUCT((I9:I13="✓")*1,J9:J13,L9:L13)+SUMPRODUCT((I18:I20="✓")*1,J18:J20,L18:L20)+SUMPRODUCT((I25:I27="✓")*1,J25:J27,L25:L27)+SUMPRODUCT((I32:I36="✓")*1,J32:J36,L32:L36)+SUMPRODUCT((I41:I43="✓")*1,J41:J43,L41:L43)+SUMPRODUCT((I48:I56="✓")*1,J48:J56,L48:L56)</f>
        <v/>
      </c>
      <c r="D69" s="110">
        <f>C69-B69</f>
        <v/>
      </c>
      <c r="E69" s="132">
        <f>IF(C69&gt;0,D69/C69,0)</f>
        <v/>
      </c>
    </row>
    <row r="70">
      <c r="A70" s="115" t="inlineStr">
        <is>
          <t>📌 TOTAL</t>
        </is>
      </c>
      <c r="B70" s="88">
        <f>SUM(B62:B69)</f>
        <v/>
      </c>
      <c r="C70" s="88">
        <f>SUM(C62:C69)</f>
        <v/>
      </c>
      <c r="D70" s="88">
        <f>SUM(D62:D69)</f>
        <v/>
      </c>
      <c r="E70" s="91">
        <f>IF(C70&gt;0,D70/C70,0)</f>
        <v/>
      </c>
    </row>
    <row r="72">
      <c r="A72" s="124" t="inlineStr">
        <is>
          <t>🔍 CROSS-CHECK vs Package Selector</t>
        </is>
      </c>
      <c r="B72" s="125" t="n"/>
      <c r="C72" s="125" t="n"/>
      <c r="D72" s="125" t="n"/>
      <c r="E72" s="125" t="n"/>
      <c r="F72" s="125" t="n"/>
      <c r="G72" s="125" t="n"/>
      <c r="H72" s="125" t="n"/>
      <c r="I72" s="125" t="n"/>
      <c r="J72" s="125" t="n"/>
      <c r="K72" s="125" t="n"/>
      <c r="L72" s="125" t="n"/>
    </row>
    <row r="73">
      <c r="A73" s="126" t="inlineStr">
        <is>
          <t>Package Selector Grand Total Cost:</t>
        </is>
      </c>
      <c r="B73" s="133">
        <f>'Package Selector'!G72</f>
        <v/>
      </c>
    </row>
    <row r="74">
      <c r="A74" s="126" t="inlineStr">
        <is>
          <t>Package Selector 2 Grand Total Cost:</t>
        </is>
      </c>
      <c r="B74" s="133">
        <f>B70</f>
        <v/>
      </c>
    </row>
    <row r="75">
      <c r="A75" s="116" t="inlineStr">
        <is>
          <t>Difference:</t>
        </is>
      </c>
      <c r="B75" s="117">
        <f>B74-B73</f>
        <v/>
      </c>
      <c r="C75" s="118">
        <f>IF(B75=0,"✅ MATCH","❌ MISMATCH")</f>
        <v/>
      </c>
    </row>
    <row r="77">
      <c r="A77" s="134" t="inlineStr">
        <is>
          <t>⚠️ DUPLICATE ITEMS (중복항목)</t>
        </is>
      </c>
      <c r="B77" s="135" t="n"/>
      <c r="C77" s="135" t="n"/>
      <c r="D77" s="135" t="n"/>
      <c r="E77" s="135" t="n"/>
      <c r="F77" s="135" t="n"/>
      <c r="G77" s="135" t="n"/>
      <c r="H77" s="135" t="n"/>
      <c r="I77" s="135" t="n"/>
      <c r="J77" s="135" t="n"/>
      <c r="K77" s="135" t="n"/>
      <c r="L77" s="135" t="n"/>
    </row>
    <row r="78">
      <c r="A78" s="136" t="inlineStr">
        <is>
          <t>중복 발생 항목:</t>
        </is>
      </c>
      <c r="B78" s="136">
        <f>IF(COUNTIF(O:O,"&gt;0")=0,"✅ 중복 없음","❌ "&amp;COUNTIF(O:O,"&gt;0")&amp;"건 중복 — 위 O열 빨간셀 확인")</f>
        <v/>
      </c>
    </row>
    <row r="80">
      <c r="A80" s="124" t="inlineStr">
        <is>
          <t>💡 USAGE TIPS</t>
        </is>
      </c>
      <c r="B80" s="125" t="n"/>
      <c r="C80" s="125" t="n"/>
      <c r="D80" s="125" t="n"/>
      <c r="E80" s="125" t="n"/>
      <c r="F80" s="125" t="n"/>
      <c r="G80" s="125" t="n"/>
      <c r="H80" s="125" t="n"/>
      <c r="I80" s="125" t="n"/>
      <c r="J80" s="125" t="n"/>
      <c r="K80" s="125" t="n"/>
      <c r="L80" s="125" t="n"/>
    </row>
    <row r="81">
      <c r="A81" s="108" t="inlineStr">
        <is>
          <t>① A열: 드롭다운에서 항목 선택 (Master Data 연동)</t>
        </is>
      </c>
      <c r="B81" s="81" t="n"/>
      <c r="C81" s="81" t="n"/>
      <c r="D81" s="81" t="n"/>
      <c r="E81" s="81" t="n"/>
      <c r="F81" s="81" t="n"/>
      <c r="G81" s="81" t="n"/>
      <c r="H81" s="81" t="n"/>
      <c r="I81" s="81" t="n"/>
      <c r="J81" s="81" t="n"/>
      <c r="K81" s="81" t="n"/>
      <c r="L81" s="81" t="n"/>
    </row>
    <row r="82">
      <c r="A82" s="108" t="inlineStr">
        <is>
          <t>② 참가자열(B~I): ✓ 체크 = 해당 참가자에게 이 항목 포함</t>
        </is>
      </c>
      <c r="B82" s="81" t="n"/>
      <c r="C82" s="81" t="n"/>
      <c r="D82" s="81" t="n"/>
      <c r="E82" s="81" t="n"/>
      <c r="F82" s="81" t="n"/>
      <c r="G82" s="81" t="n"/>
      <c r="H82" s="81" t="n"/>
      <c r="I82" s="81" t="n"/>
      <c r="J82" s="81" t="n"/>
      <c r="K82" s="81" t="n"/>
      <c r="L82" s="81" t="n"/>
    </row>
    <row r="83">
      <c r="A83" s="108" t="inlineStr">
        <is>
          <t>③ Qty/p: 1인당 수량 (골프: 라운드수, 호텔: 박수, 식사: 끼니수)</t>
        </is>
      </c>
      <c r="B83" s="81" t="n"/>
      <c r="C83" s="81" t="n"/>
      <c r="D83" s="81" t="n"/>
      <c r="E83" s="81" t="n"/>
      <c r="F83" s="81" t="n"/>
      <c r="G83" s="81" t="n"/>
      <c r="H83" s="81" t="n"/>
      <c r="I83" s="81" t="n"/>
      <c r="J83" s="81" t="n"/>
      <c r="K83" s="81" t="n"/>
      <c r="L83" s="81" t="n"/>
    </row>
    <row r="84">
      <c r="A84" s="108" t="inlineStr">
        <is>
          <t>④ 중복항목: 같은 섹션 내 동일항목 중복선택 → O열 빨간불</t>
        </is>
      </c>
      <c r="B84" s="81" t="n"/>
      <c r="C84" s="81" t="n"/>
      <c r="D84" s="81" t="n"/>
      <c r="E84" s="81" t="n"/>
      <c r="F84" s="81" t="n"/>
      <c r="G84" s="81" t="n"/>
      <c r="H84" s="81" t="n"/>
      <c r="I84" s="81" t="n"/>
      <c r="J84" s="81" t="n"/>
      <c r="K84" s="81" t="n"/>
      <c r="L84" s="81" t="n"/>
    </row>
    <row r="85">
      <c r="A85" s="108" t="inlineStr">
        <is>
          <t>⑤ 교차검증: Package Selector 총액과 일치여부 자동확인</t>
        </is>
      </c>
      <c r="B85" s="81" t="n"/>
      <c r="C85" s="81" t="n"/>
      <c r="D85" s="81" t="n"/>
      <c r="E85" s="81" t="n"/>
      <c r="F85" s="81" t="n"/>
      <c r="G85" s="81" t="n"/>
      <c r="H85" s="81" t="n"/>
      <c r="I85" s="81" t="n"/>
      <c r="J85" s="81" t="n"/>
      <c r="K85" s="81" t="n"/>
      <c r="L85" s="81" t="n"/>
    </row>
    <row r="86">
      <c r="A86" s="108" t="inlineStr">
        <is>
          <t>⑥ 웹사이트 적용: 이 시트 구조 그대로 interactive form 구현 가능</t>
        </is>
      </c>
      <c r="B86" s="81" t="n"/>
      <c r="C86" s="81" t="n"/>
      <c r="D86" s="81" t="n"/>
      <c r="E86" s="81" t="n"/>
      <c r="F86" s="81" t="n"/>
      <c r="G86" s="81" t="n"/>
      <c r="H86" s="81" t="n"/>
      <c r="I86" s="81" t="n"/>
      <c r="J86" s="81" t="n"/>
      <c r="K86" s="81" t="n"/>
      <c r="L86" s="81" t="n"/>
    </row>
  </sheetData>
  <mergeCells count="18">
    <mergeCell ref="A30:L30"/>
    <mergeCell ref="A2:L2"/>
    <mergeCell ref="A16:L16"/>
    <mergeCell ref="A72:L72"/>
    <mergeCell ref="A7:L7"/>
    <mergeCell ref="A60:L60"/>
    <mergeCell ref="A21"/>
    <mergeCell ref="A44"/>
    <mergeCell ref="A1:L1"/>
    <mergeCell ref="A23:L23"/>
    <mergeCell ref="A46:L46"/>
    <mergeCell ref="A57"/>
    <mergeCell ref="A77:L77"/>
    <mergeCell ref="A80:L80"/>
    <mergeCell ref="A28"/>
    <mergeCell ref="A14"/>
    <mergeCell ref="A39:L39"/>
    <mergeCell ref="A37"/>
  </mergeCells>
  <conditionalFormatting sqref="A9">
    <cfRule type="cellIs" priority="1" operator="greaterThan" dxfId="2">
      <formula>0</formula>
    </cfRule>
  </conditionalFormatting>
  <conditionalFormatting sqref="O9">
    <cfRule type="cellIs" priority="2" operator="greaterThan" dxfId="0">
      <formula>0</formula>
    </cfRule>
  </conditionalFormatting>
  <conditionalFormatting sqref="A10">
    <cfRule type="cellIs" priority="3" operator="greaterThan" dxfId="2">
      <formula>0</formula>
    </cfRule>
  </conditionalFormatting>
  <conditionalFormatting sqref="O10">
    <cfRule type="cellIs" priority="4" operator="greaterThan" dxfId="0">
      <formula>0</formula>
    </cfRule>
  </conditionalFormatting>
  <conditionalFormatting sqref="A11">
    <cfRule type="cellIs" priority="5" operator="greaterThan" dxfId="2">
      <formula>0</formula>
    </cfRule>
  </conditionalFormatting>
  <conditionalFormatting sqref="O11">
    <cfRule type="cellIs" priority="6" operator="greaterThan" dxfId="0">
      <formula>0</formula>
    </cfRule>
  </conditionalFormatting>
  <conditionalFormatting sqref="A12">
    <cfRule type="cellIs" priority="7" operator="greaterThan" dxfId="2">
      <formula>0</formula>
    </cfRule>
  </conditionalFormatting>
  <conditionalFormatting sqref="O12">
    <cfRule type="cellIs" priority="8" operator="greaterThan" dxfId="0">
      <formula>0</formula>
    </cfRule>
  </conditionalFormatting>
  <conditionalFormatting sqref="A13">
    <cfRule type="cellIs" priority="9" operator="greaterThan" dxfId="2">
      <formula>0</formula>
    </cfRule>
  </conditionalFormatting>
  <conditionalFormatting sqref="O13">
    <cfRule type="cellIs" priority="10" operator="greaterThan" dxfId="0">
      <formula>0</formula>
    </cfRule>
  </conditionalFormatting>
  <conditionalFormatting sqref="A18">
    <cfRule type="cellIs" priority="11" operator="greaterThan" dxfId="2">
      <formula>0</formula>
    </cfRule>
  </conditionalFormatting>
  <conditionalFormatting sqref="O18">
    <cfRule type="cellIs" priority="12" operator="greaterThan" dxfId="0">
      <formula>0</formula>
    </cfRule>
  </conditionalFormatting>
  <conditionalFormatting sqref="A19">
    <cfRule type="cellIs" priority="13" operator="greaterThan" dxfId="2">
      <formula>0</formula>
    </cfRule>
  </conditionalFormatting>
  <conditionalFormatting sqref="O19">
    <cfRule type="cellIs" priority="14" operator="greaterThan" dxfId="0">
      <formula>0</formula>
    </cfRule>
  </conditionalFormatting>
  <conditionalFormatting sqref="A20">
    <cfRule type="cellIs" priority="15" operator="greaterThan" dxfId="2">
      <formula>0</formula>
    </cfRule>
  </conditionalFormatting>
  <conditionalFormatting sqref="O20">
    <cfRule type="cellIs" priority="16" operator="greaterThan" dxfId="0">
      <formula>0</formula>
    </cfRule>
  </conditionalFormatting>
  <conditionalFormatting sqref="A25">
    <cfRule type="cellIs" priority="17" operator="greaterThan" dxfId="2">
      <formula>0</formula>
    </cfRule>
  </conditionalFormatting>
  <conditionalFormatting sqref="O25">
    <cfRule type="cellIs" priority="18" operator="greaterThan" dxfId="0">
      <formula>0</formula>
    </cfRule>
  </conditionalFormatting>
  <conditionalFormatting sqref="A26">
    <cfRule type="cellIs" priority="19" operator="greaterThan" dxfId="2">
      <formula>0</formula>
    </cfRule>
  </conditionalFormatting>
  <conditionalFormatting sqref="O26">
    <cfRule type="cellIs" priority="20" operator="greaterThan" dxfId="0">
      <formula>0</formula>
    </cfRule>
  </conditionalFormatting>
  <conditionalFormatting sqref="A27">
    <cfRule type="cellIs" priority="21" operator="greaterThan" dxfId="2">
      <formula>0</formula>
    </cfRule>
  </conditionalFormatting>
  <conditionalFormatting sqref="O27">
    <cfRule type="cellIs" priority="22" operator="greaterThan" dxfId="0">
      <formula>0</formula>
    </cfRule>
  </conditionalFormatting>
  <conditionalFormatting sqref="A32">
    <cfRule type="cellIs" priority="23" operator="greaterThan" dxfId="2">
      <formula>0</formula>
    </cfRule>
  </conditionalFormatting>
  <conditionalFormatting sqref="O32">
    <cfRule type="cellIs" priority="24" operator="greaterThan" dxfId="0">
      <formula>0</formula>
    </cfRule>
  </conditionalFormatting>
  <conditionalFormatting sqref="A33">
    <cfRule type="cellIs" priority="25" operator="greaterThan" dxfId="2">
      <formula>0</formula>
    </cfRule>
  </conditionalFormatting>
  <conditionalFormatting sqref="O33">
    <cfRule type="cellIs" priority="26" operator="greaterThan" dxfId="0">
      <formula>0</formula>
    </cfRule>
  </conditionalFormatting>
  <conditionalFormatting sqref="A34">
    <cfRule type="cellIs" priority="27" operator="greaterThan" dxfId="2">
      <formula>0</formula>
    </cfRule>
  </conditionalFormatting>
  <conditionalFormatting sqref="O34">
    <cfRule type="cellIs" priority="28" operator="greaterThan" dxfId="0">
      <formula>0</formula>
    </cfRule>
  </conditionalFormatting>
  <conditionalFormatting sqref="A35">
    <cfRule type="cellIs" priority="29" operator="greaterThan" dxfId="2">
      <formula>0</formula>
    </cfRule>
  </conditionalFormatting>
  <conditionalFormatting sqref="O35">
    <cfRule type="cellIs" priority="30" operator="greaterThan" dxfId="0">
      <formula>0</formula>
    </cfRule>
  </conditionalFormatting>
  <conditionalFormatting sqref="A36">
    <cfRule type="cellIs" priority="31" operator="greaterThan" dxfId="2">
      <formula>0</formula>
    </cfRule>
  </conditionalFormatting>
  <conditionalFormatting sqref="O36">
    <cfRule type="cellIs" priority="32" operator="greaterThan" dxfId="0">
      <formula>0</formula>
    </cfRule>
  </conditionalFormatting>
  <conditionalFormatting sqref="A41">
    <cfRule type="cellIs" priority="33" operator="greaterThan" dxfId="2">
      <formula>0</formula>
    </cfRule>
  </conditionalFormatting>
  <conditionalFormatting sqref="O41">
    <cfRule type="cellIs" priority="34" operator="greaterThan" dxfId="0">
      <formula>0</formula>
    </cfRule>
  </conditionalFormatting>
  <conditionalFormatting sqref="A42">
    <cfRule type="cellIs" priority="35" operator="greaterThan" dxfId="2">
      <formula>0</formula>
    </cfRule>
  </conditionalFormatting>
  <conditionalFormatting sqref="O42">
    <cfRule type="cellIs" priority="36" operator="greaterThan" dxfId="0">
      <formula>0</formula>
    </cfRule>
  </conditionalFormatting>
  <conditionalFormatting sqref="A43">
    <cfRule type="cellIs" priority="37" operator="greaterThan" dxfId="2">
      <formula>0</formula>
    </cfRule>
  </conditionalFormatting>
  <conditionalFormatting sqref="O43">
    <cfRule type="cellIs" priority="38" operator="greaterThan" dxfId="0">
      <formula>0</formula>
    </cfRule>
  </conditionalFormatting>
  <conditionalFormatting sqref="A48">
    <cfRule type="cellIs" priority="39" operator="greaterThan" dxfId="2">
      <formula>0</formula>
    </cfRule>
  </conditionalFormatting>
  <conditionalFormatting sqref="O48">
    <cfRule type="cellIs" priority="40" operator="greaterThan" dxfId="0">
      <formula>0</formula>
    </cfRule>
  </conditionalFormatting>
  <conditionalFormatting sqref="A49">
    <cfRule type="cellIs" priority="41" operator="greaterThan" dxfId="2">
      <formula>0</formula>
    </cfRule>
  </conditionalFormatting>
  <conditionalFormatting sqref="O49">
    <cfRule type="cellIs" priority="42" operator="greaterThan" dxfId="0">
      <formula>0</formula>
    </cfRule>
  </conditionalFormatting>
  <conditionalFormatting sqref="A50">
    <cfRule type="cellIs" priority="43" operator="greaterThan" dxfId="2">
      <formula>0</formula>
    </cfRule>
  </conditionalFormatting>
  <conditionalFormatting sqref="O50">
    <cfRule type="cellIs" priority="44" operator="greaterThan" dxfId="0">
      <formula>0</formula>
    </cfRule>
  </conditionalFormatting>
  <conditionalFormatting sqref="A51">
    <cfRule type="cellIs" priority="45" operator="greaterThan" dxfId="2">
      <formula>0</formula>
    </cfRule>
  </conditionalFormatting>
  <conditionalFormatting sqref="O51">
    <cfRule type="cellIs" priority="46" operator="greaterThan" dxfId="0">
      <formula>0</formula>
    </cfRule>
  </conditionalFormatting>
  <conditionalFormatting sqref="A52">
    <cfRule type="cellIs" priority="47" operator="greaterThan" dxfId="2">
      <formula>0</formula>
    </cfRule>
  </conditionalFormatting>
  <conditionalFormatting sqref="O52">
    <cfRule type="cellIs" priority="48" operator="greaterThan" dxfId="0">
      <formula>0</formula>
    </cfRule>
  </conditionalFormatting>
  <conditionalFormatting sqref="A53">
    <cfRule type="cellIs" priority="49" operator="greaterThan" dxfId="2">
      <formula>0</formula>
    </cfRule>
  </conditionalFormatting>
  <conditionalFormatting sqref="O53">
    <cfRule type="cellIs" priority="50" operator="greaterThan" dxfId="0">
      <formula>0</formula>
    </cfRule>
  </conditionalFormatting>
  <conditionalFormatting sqref="A54">
    <cfRule type="cellIs" priority="51" operator="greaterThan" dxfId="2">
      <formula>0</formula>
    </cfRule>
  </conditionalFormatting>
  <conditionalFormatting sqref="O54">
    <cfRule type="cellIs" priority="52" operator="greaterThan" dxfId="0">
      <formula>0</formula>
    </cfRule>
  </conditionalFormatting>
  <conditionalFormatting sqref="A55">
    <cfRule type="cellIs" priority="53" operator="greaterThan" dxfId="2">
      <formula>0</formula>
    </cfRule>
  </conditionalFormatting>
  <conditionalFormatting sqref="O55">
    <cfRule type="cellIs" priority="54" operator="greaterThan" dxfId="0">
      <formula>0</formula>
    </cfRule>
  </conditionalFormatting>
  <conditionalFormatting sqref="A56">
    <cfRule type="cellIs" priority="55" operator="greaterThan" dxfId="2">
      <formula>0</formula>
    </cfRule>
  </conditionalFormatting>
  <conditionalFormatting sqref="O56">
    <cfRule type="cellIs" priority="56" operator="greaterThan" dxfId="0">
      <formula>0</formula>
    </cfRule>
  </conditionalFormatting>
  <conditionalFormatting sqref="B75">
    <cfRule type="cellIs" priority="57" operator="notEqual" dxfId="1">
      <formula>0</formula>
    </cfRule>
  </conditionalFormatting>
  <dataValidations count="7">
    <dataValidation sqref="B9 B10 B11 B12 B13 B18 B19 B20 B25 B26 B27 B32 B33 B34 B35 B36 B41 B42 B43 B48 B49 B50 B51 B52 B53 B54 B55 B56 C9 C10 C11 C12 C13 C18 C19 C20 C25 C26 C27 C32 C33 C34 C35 C36 C41 C42 C43 C48 C49 C50 C51 C52 C53 C54 C55 C56 D9 D10 D11 D12 D13 D18 D19 D20 D25 D26 D27 D32 D33 D34 D35 D36 D41 D42 D43 D48 D49 D50 D51 D52 D53 D54 D55 D56 E9 E10 E11 E12 E13 E18 E19 E20 E25 E26 E27 E32 E33 E34 E35 E36 E41 E42 E43 E48 E49 E50 E51 E52 E53 E54 E55 E56 F9 F10 F11 F12 F13 F18 F19 F20 F25 F26 F27 F32 F33 F34 F35 F36 F41 F42 F43 F48 F49 F50 F51 F52 F53 F54 F55 F56 G9 G10 G11 G12 G13 G18 G19 G20 G25 G26 G27 G32 G33 G34 G35 G36 G41 G42 G43 G48 G49 G50 G51 G52 G53 G54 G55 G56 H9 H10 H11 H12 H13 H18 H19 H20 H25 H26 H27 H32 H33 H34 H35 H36 H41 H42 H43 H48 H49 H50 H51 H52 H53 H54 H55 H56 I9 I10 I11 I12 I13 I18 I19 I20 I25 I26 I27 I32 I33 I34 I35 I36 I41 I42 I43 I48 I49 I50 I51 I52 I53 I54 I55 I56" showDropDown="0" showInputMessage="0" showErrorMessage="0" allowBlank="1" type="list">
      <formula1>"✓,"</formula1>
    </dataValidation>
    <dataValidation sqref="A9 A10 A11 A12 A13" showDropDown="0" showInputMessage="0" showErrorMessage="0" allowBlank="1" error="올바른 항목을 선택하세요" type="list">
      <formula1>'Master Data'!$A$7:$A$14</formula1>
    </dataValidation>
    <dataValidation sqref="A18 A19 A20" showDropDown="0" showInputMessage="0" showErrorMessage="0" allowBlank="1" error="올바른 항목을 선택하세요" type="list">
      <formula1>'Master Data'!$A$19:$A$24</formula1>
    </dataValidation>
    <dataValidation sqref="A25 A26 A27" showDropDown="0" showInputMessage="0" showErrorMessage="0" allowBlank="1" error="올바른 항목을 선택하세요" type="list">
      <formula1>'Master Data'!$A$28:$A$34</formula1>
    </dataValidation>
    <dataValidation sqref="A32 A33 A34 A35 A36" showDropDown="0" showInputMessage="0" showErrorMessage="0" allowBlank="1" error="올바른 항목을 선택하세요" type="list">
      <formula1>'Master Data'!$A$38:$A$46</formula1>
    </dataValidation>
    <dataValidation sqref="A41 A42 A43" showDropDown="0" showInputMessage="0" showErrorMessage="0" allowBlank="1" error="올바른 항목을 선택하세요" type="list">
      <formula1>'Master Data'!$A$50:$A$56</formula1>
    </dataValidation>
    <dataValidation sqref="A48 A49 A50 A51 A52 A53 A54 A55 A56" showDropDown="0" showInputMessage="0" showErrorMessage="0" allowBlank="1" error="올바른 항목을 선택하세요" type="list">
      <formula1>'Master Data'!$A$86:$A$94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8" customWidth="1" style="42" min="1" max="1"/>
    <col width="14" customWidth="1" style="42" min="2" max="2"/>
    <col width="14" customWidth="1" style="42" min="3" max="3"/>
    <col width="14" customWidth="1" style="42" min="4" max="4"/>
    <col width="14" customWidth="1" style="42" min="5" max="5"/>
    <col width="14" customWidth="1" style="42" min="6" max="6"/>
    <col width="14" customWidth="1" style="42" min="7" max="7"/>
  </cols>
  <sheetData>
    <row r="1">
      <c r="A1" s="103" t="inlineStr">
        <is>
          <t>📊 PROFIT SUMMARY 2 — Category + Per Person Breakdown</t>
        </is>
      </c>
      <c r="B1" s="104" t="n"/>
      <c r="C1" s="104" t="n"/>
      <c r="D1" s="104" t="n"/>
      <c r="E1" s="104" t="n"/>
      <c r="F1" s="104" t="n"/>
      <c r="G1" s="104" t="n"/>
    </row>
    <row r="2">
      <c r="A2" s="105" t="inlineStr">
        <is>
          <t>⬇️ 'Package Selector 2' ✓체크 기반 자동 분석 | 카테고리별 + 참가자별</t>
        </is>
      </c>
    </row>
    <row r="4">
      <c r="A4" s="119" t="inlineStr">
        <is>
          <t>Category</t>
        </is>
      </c>
      <c r="B4" s="98" t="inlineStr">
        <is>
          <t>Total Cost</t>
        </is>
      </c>
      <c r="C4" s="98" t="inlineStr">
        <is>
          <t>Total Sell</t>
        </is>
      </c>
      <c r="D4" s="98" t="inlineStr">
        <is>
          <t>Margin</t>
        </is>
      </c>
      <c r="E4" s="98" t="inlineStr">
        <is>
          <t>Margin%</t>
        </is>
      </c>
      <c r="F4" s="98" t="inlineStr">
        <is>
          <t>Per Person</t>
        </is>
      </c>
      <c r="G4" s="98" t="inlineStr">
        <is>
          <t>% of Total</t>
        </is>
      </c>
    </row>
    <row r="5">
      <c r="A5" s="136" t="inlineStr">
        <is>
          <t>GOLF</t>
        </is>
      </c>
      <c r="B5" s="84">
        <f>'Package Selector 2'!K14</f>
        <v/>
      </c>
      <c r="C5" s="84">
        <f>'Package Selector 2'!L14</f>
        <v/>
      </c>
      <c r="D5" s="84">
        <f>C5-B5</f>
        <v/>
      </c>
      <c r="E5" s="137">
        <f>IF(C5&gt;0,D5/C5,0)</f>
        <v/>
      </c>
      <c r="F5" s="84">
        <f>IF('Package Selector'!G5&gt;0,B5/'Package Selector'!G5,0)</f>
        <v/>
      </c>
      <c r="G5" s="137">
        <f>IF(B11&gt;0,B5/B11,0)</f>
        <v/>
      </c>
    </row>
    <row r="6">
      <c r="A6" s="136" t="inlineStr">
        <is>
          <t>HOTEL</t>
        </is>
      </c>
      <c r="B6" s="84">
        <f>'Package Selector 2'!K21</f>
        <v/>
      </c>
      <c r="C6" s="84">
        <f>'Package Selector 2'!L21</f>
        <v/>
      </c>
      <c r="D6" s="84">
        <f>C6-B6</f>
        <v/>
      </c>
      <c r="E6" s="137">
        <f>IF(C6&gt;0,D6/C6,0)</f>
        <v/>
      </c>
      <c r="F6" s="84">
        <f>IF('Package Selector'!G5&gt;0,B6/'Package Selector'!G5,0)</f>
        <v/>
      </c>
      <c r="G6" s="137">
        <f>IF(B12&gt;0,B6/B12,0)</f>
        <v/>
      </c>
    </row>
    <row r="7">
      <c r="A7" s="136" t="inlineStr">
        <is>
          <t>TRANSPORT</t>
        </is>
      </c>
      <c r="B7" s="84">
        <f>'Package Selector 2'!K28</f>
        <v/>
      </c>
      <c r="C7" s="84">
        <f>'Package Selector 2'!L28</f>
        <v/>
      </c>
      <c r="D7" s="84">
        <f>C7-B7</f>
        <v/>
      </c>
      <c r="E7" s="137">
        <f>IF(C7&gt;0,D7/C7,0)</f>
        <v/>
      </c>
      <c r="F7" s="84">
        <f>IF('Package Selector'!G5&gt;0,B7/'Package Selector'!G5,0)</f>
        <v/>
      </c>
      <c r="G7" s="137">
        <f>IF(B13&gt;0,B7/B13,0)</f>
        <v/>
      </c>
    </row>
    <row r="8">
      <c r="A8" s="136" t="inlineStr">
        <is>
          <t>MEALS</t>
        </is>
      </c>
      <c r="B8" s="84">
        <f>'Package Selector 2'!K37</f>
        <v/>
      </c>
      <c r="C8" s="84">
        <f>'Package Selector 2'!L37</f>
        <v/>
      </c>
      <c r="D8" s="84">
        <f>C8-B8</f>
        <v/>
      </c>
      <c r="E8" s="137">
        <f>IF(C8&gt;0,D8/C8,0)</f>
        <v/>
      </c>
      <c r="F8" s="84">
        <f>IF('Package Selector'!G5&gt;0,B8/'Package Selector'!G5,0)</f>
        <v/>
      </c>
      <c r="G8" s="137">
        <f>IF(B14&gt;0,B8/B14,0)</f>
        <v/>
      </c>
    </row>
    <row r="9">
      <c r="A9" s="136" t="inlineStr">
        <is>
          <t>OTHER</t>
        </is>
      </c>
      <c r="B9" s="84">
        <f>'Package Selector 2'!K44</f>
        <v/>
      </c>
      <c r="C9" s="84">
        <f>'Package Selector 2'!L44</f>
        <v/>
      </c>
      <c r="D9" s="84">
        <f>C9-B9</f>
        <v/>
      </c>
      <c r="E9" s="137">
        <f>IF(C9&gt;0,D9/C9,0)</f>
        <v/>
      </c>
      <c r="F9" s="84">
        <f>IF('Package Selector'!G5&gt;0,B9/'Package Selector'!G5,0)</f>
        <v/>
      </c>
      <c r="G9" s="137">
        <f>IF(B15&gt;0,B9/B15,0)</f>
        <v/>
      </c>
    </row>
    <row r="10">
      <c r="A10" s="136" t="inlineStr">
        <is>
          <t>ACTIVITIES</t>
        </is>
      </c>
      <c r="B10" s="84">
        <f>'Package Selector 2'!K57</f>
        <v/>
      </c>
      <c r="C10" s="84">
        <f>'Package Selector 2'!L57</f>
        <v/>
      </c>
      <c r="D10" s="84">
        <f>C10-B10</f>
        <v/>
      </c>
      <c r="E10" s="137">
        <f>IF(C10&gt;0,D10/C10,0)</f>
        <v/>
      </c>
      <c r="F10" s="84">
        <f>IF('Package Selector'!G5&gt;0,B10/'Package Selector'!G5,0)</f>
        <v/>
      </c>
      <c r="G10" s="137">
        <f>IF(B16&gt;0,B10/B16,0)</f>
        <v/>
      </c>
    </row>
    <row r="11">
      <c r="A11" s="115" t="inlineStr">
        <is>
          <t>📌 GRAND TOTAL</t>
        </is>
      </c>
      <c r="B11" s="88">
        <f>SUM(B5:B10)</f>
        <v/>
      </c>
      <c r="C11" s="88">
        <f>SUM(C5:C10)</f>
        <v/>
      </c>
      <c r="D11" s="88">
        <f>SUM(D5:D10)</f>
        <v/>
      </c>
      <c r="E11" s="91">
        <f>IF(C11&gt;0,D11/C11,0)</f>
        <v/>
      </c>
      <c r="F11" s="88">
        <f>IF('Package Selector'!G5&gt;0,B11/'Package Selector'!G5,0)</f>
        <v/>
      </c>
      <c r="G11" s="91">
        <f>1</f>
        <v/>
      </c>
    </row>
    <row r="13">
      <c r="A13" s="103" t="inlineStr">
        <is>
          <t>👤 PER PERSON DETAIL</t>
        </is>
      </c>
      <c r="B13" s="104" t="n"/>
      <c r="C13" s="104" t="n"/>
      <c r="D13" s="104" t="n"/>
      <c r="E13" s="104" t="n"/>
      <c r="F13" s="104" t="n"/>
      <c r="G13" s="104" t="n"/>
    </row>
    <row r="14">
      <c r="A14" s="119" t="inlineStr">
        <is>
          <t>Person</t>
        </is>
      </c>
      <c r="B14" s="98" t="inlineStr">
        <is>
          <t>Total Cost</t>
        </is>
      </c>
      <c r="C14" s="98" t="inlineStr">
        <is>
          <t>Total Sell</t>
        </is>
      </c>
      <c r="D14" s="98" t="inlineStr">
        <is>
          <t>Margin</t>
        </is>
      </c>
      <c r="E14" s="98" t="inlineStr">
        <is>
          <t>Margin%</t>
        </is>
      </c>
      <c r="F14" s="98" t="inlineStr">
        <is>
          <t># Items</t>
        </is>
      </c>
      <c r="G14" s="98" t="inlineStr">
        <is>
          <t>✓Check</t>
        </is>
      </c>
    </row>
    <row r="15">
      <c r="A15" s="108" t="inlineStr">
        <is>
          <t>참가자1</t>
        </is>
      </c>
      <c r="B15" s="84">
        <f>'Package Selector 2'!B62</f>
        <v/>
      </c>
      <c r="C15" s="84">
        <f>'Package Selector 2'!C62</f>
        <v/>
      </c>
      <c r="D15" s="84">
        <f>'Package Selector 2'!D62</f>
        <v/>
      </c>
      <c r="E15" s="137">
        <f>'Package Selector 2'!E62</f>
        <v/>
      </c>
      <c r="F15" s="122">
        <f>COUNTIF('Package Selector 2'!B9:B13,"✓")+COUNTIF('Package Selector 2'!B18:B20,"✓")+COUNTIF('Package Selector 2'!B25:B27,"✓")+COUNTIF('Package Selector 2'!B32:B36,"✓")+COUNTIF('Package Selector 2'!B41:B43,"✓")+COUNTIF('Package Selector 2'!B48:B56,"✓")</f>
        <v/>
      </c>
      <c r="G15" s="84">
        <f>'Package Selector 2'!D62</f>
        <v/>
      </c>
    </row>
    <row r="16">
      <c r="A16" s="108" t="inlineStr">
        <is>
          <t>참가자2</t>
        </is>
      </c>
      <c r="B16" s="84">
        <f>'Package Selector 2'!B63</f>
        <v/>
      </c>
      <c r="C16" s="84">
        <f>'Package Selector 2'!C63</f>
        <v/>
      </c>
      <c r="D16" s="84">
        <f>'Package Selector 2'!D63</f>
        <v/>
      </c>
      <c r="E16" s="137">
        <f>'Package Selector 2'!E63</f>
        <v/>
      </c>
      <c r="F16" s="122">
        <f>COUNTIF('Package Selector 2'!C9:C13,"✓")+COUNTIF('Package Selector 2'!C18:C20,"✓")+COUNTIF('Package Selector 2'!C25:C27,"✓")+COUNTIF('Package Selector 2'!C32:C36,"✓")+COUNTIF('Package Selector 2'!C41:C43,"✓")+COUNTIF('Package Selector 2'!C48:C56,"✓")</f>
        <v/>
      </c>
      <c r="G16" s="84">
        <f>'Package Selector 2'!D63</f>
        <v/>
      </c>
    </row>
    <row r="17">
      <c r="A17" s="108" t="inlineStr">
        <is>
          <t>참가자3</t>
        </is>
      </c>
      <c r="B17" s="84">
        <f>'Package Selector 2'!B64</f>
        <v/>
      </c>
      <c r="C17" s="84">
        <f>'Package Selector 2'!C64</f>
        <v/>
      </c>
      <c r="D17" s="84">
        <f>'Package Selector 2'!D64</f>
        <v/>
      </c>
      <c r="E17" s="137">
        <f>'Package Selector 2'!E64</f>
        <v/>
      </c>
      <c r="F17" s="122">
        <f>COUNTIF('Package Selector 2'!D9:D13,"✓")+COUNTIF('Package Selector 2'!D18:D20,"✓")+COUNTIF('Package Selector 2'!D25:D27,"✓")+COUNTIF('Package Selector 2'!D32:D36,"✓")+COUNTIF('Package Selector 2'!D41:D43,"✓")+COUNTIF('Package Selector 2'!D48:D56,"✓")</f>
        <v/>
      </c>
      <c r="G17" s="84">
        <f>'Package Selector 2'!D64</f>
        <v/>
      </c>
    </row>
    <row r="18">
      <c r="A18" s="108" t="inlineStr">
        <is>
          <t>참가자4</t>
        </is>
      </c>
      <c r="B18" s="84">
        <f>'Package Selector 2'!B65</f>
        <v/>
      </c>
      <c r="C18" s="84">
        <f>'Package Selector 2'!C65</f>
        <v/>
      </c>
      <c r="D18" s="84">
        <f>'Package Selector 2'!D65</f>
        <v/>
      </c>
      <c r="E18" s="137">
        <f>'Package Selector 2'!E65</f>
        <v/>
      </c>
      <c r="F18" s="122">
        <f>COUNTIF('Package Selector 2'!E9:E13,"✓")+COUNTIF('Package Selector 2'!E18:E20,"✓")+COUNTIF('Package Selector 2'!E25:E27,"✓")+COUNTIF('Package Selector 2'!E32:E36,"✓")+COUNTIF('Package Selector 2'!E41:E43,"✓")+COUNTIF('Package Selector 2'!E48:E56,"✓")</f>
        <v/>
      </c>
      <c r="G18" s="84">
        <f>'Package Selector 2'!D65</f>
        <v/>
      </c>
    </row>
    <row r="19">
      <c r="A19" s="108" t="inlineStr">
        <is>
          <t>참가자5</t>
        </is>
      </c>
      <c r="B19" s="84">
        <f>'Package Selector 2'!B66</f>
        <v/>
      </c>
      <c r="C19" s="84">
        <f>'Package Selector 2'!C66</f>
        <v/>
      </c>
      <c r="D19" s="84">
        <f>'Package Selector 2'!D66</f>
        <v/>
      </c>
      <c r="E19" s="137">
        <f>'Package Selector 2'!E66</f>
        <v/>
      </c>
      <c r="F19" s="122">
        <f>COUNTIF('Package Selector 2'!F9:F13,"✓")+COUNTIF('Package Selector 2'!F18:F20,"✓")+COUNTIF('Package Selector 2'!F25:F27,"✓")+COUNTIF('Package Selector 2'!F32:F36,"✓")+COUNTIF('Package Selector 2'!F41:F43,"✓")+COUNTIF('Package Selector 2'!F48:F56,"✓")</f>
        <v/>
      </c>
      <c r="G19" s="84">
        <f>'Package Selector 2'!D66</f>
        <v/>
      </c>
    </row>
    <row r="20">
      <c r="A20" s="108" t="inlineStr">
        <is>
          <t>참가자6</t>
        </is>
      </c>
      <c r="B20" s="84">
        <f>'Package Selector 2'!B67</f>
        <v/>
      </c>
      <c r="C20" s="84">
        <f>'Package Selector 2'!C67</f>
        <v/>
      </c>
      <c r="D20" s="84">
        <f>'Package Selector 2'!D67</f>
        <v/>
      </c>
      <c r="E20" s="137">
        <f>'Package Selector 2'!E67</f>
        <v/>
      </c>
      <c r="F20" s="122">
        <f>COUNTIF('Package Selector 2'!G9:G13,"✓")+COUNTIF('Package Selector 2'!G18:G20,"✓")+COUNTIF('Package Selector 2'!G25:G27,"✓")+COUNTIF('Package Selector 2'!G32:G36,"✓")+COUNTIF('Package Selector 2'!G41:G43,"✓")+COUNTIF('Package Selector 2'!G48:G56,"✓")</f>
        <v/>
      </c>
      <c r="G20" s="84">
        <f>'Package Selector 2'!D67</f>
        <v/>
      </c>
    </row>
    <row r="21">
      <c r="A21" s="108" t="inlineStr">
        <is>
          <t>참가자7</t>
        </is>
      </c>
      <c r="B21" s="84">
        <f>'Package Selector 2'!B68</f>
        <v/>
      </c>
      <c r="C21" s="84">
        <f>'Package Selector 2'!C68</f>
        <v/>
      </c>
      <c r="D21" s="84">
        <f>'Package Selector 2'!D68</f>
        <v/>
      </c>
      <c r="E21" s="137">
        <f>'Package Selector 2'!E68</f>
        <v/>
      </c>
      <c r="F21" s="122">
        <f>COUNTIF('Package Selector 2'!H9:H13,"✓")+COUNTIF('Package Selector 2'!H18:H20,"✓")+COUNTIF('Package Selector 2'!H25:H27,"✓")+COUNTIF('Package Selector 2'!H32:H36,"✓")+COUNTIF('Package Selector 2'!H41:H43,"✓")+COUNTIF('Package Selector 2'!H48:H56,"✓")</f>
        <v/>
      </c>
      <c r="G21" s="84">
        <f>'Package Selector 2'!D68</f>
        <v/>
      </c>
    </row>
    <row r="22">
      <c r="A22" s="108" t="inlineStr">
        <is>
          <t>참가자8</t>
        </is>
      </c>
      <c r="B22" s="84">
        <f>'Package Selector 2'!B69</f>
        <v/>
      </c>
      <c r="C22" s="84">
        <f>'Package Selector 2'!C69</f>
        <v/>
      </c>
      <c r="D22" s="84">
        <f>'Package Selector 2'!D69</f>
        <v/>
      </c>
      <c r="E22" s="137">
        <f>'Package Selector 2'!E69</f>
        <v/>
      </c>
      <c r="F22" s="122">
        <f>COUNTIF('Package Selector 2'!I9:I13,"✓")+COUNTIF('Package Selector 2'!I18:I20,"✓")+COUNTIF('Package Selector 2'!I25:I27,"✓")+COUNTIF('Package Selector 2'!I32:I36,"✓")+COUNTIF('Package Selector 2'!I41:I43,"✓")+COUNTIF('Package Selector 2'!I48:I56,"✓")</f>
        <v/>
      </c>
      <c r="G22" s="84">
        <f>'Package Selector 2'!D69</f>
        <v/>
      </c>
    </row>
    <row r="23">
      <c r="A23" s="115" t="inlineStr">
        <is>
          <t>📌 TOTAL</t>
        </is>
      </c>
      <c r="B23" s="88">
        <f>SUM(B15:B22)</f>
        <v/>
      </c>
      <c r="C23" s="88">
        <f>SUM(C15:C22)</f>
        <v/>
      </c>
      <c r="D23" s="88">
        <f>SUM(D15:D22)</f>
        <v/>
      </c>
    </row>
    <row r="24">
      <c r="A24" s="116" t="inlineStr">
        <is>
          <t>Cross-check (PP sum = Grand Total):</t>
        </is>
      </c>
      <c r="B24" s="117">
        <f>B23-B11</f>
        <v/>
      </c>
      <c r="C24" s="118">
        <f>IF(B24=0,"✅","❌")</f>
        <v/>
      </c>
    </row>
  </sheetData>
  <mergeCells count="3">
    <mergeCell ref="A13:G13"/>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2026-05-25T00:16:10Z</dcterms:modified>
</cp:coreProperties>
</file>