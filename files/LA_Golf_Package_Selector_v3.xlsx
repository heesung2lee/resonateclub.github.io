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xr:revisionPtr revIDLastSave="0" documentId="8_{EEF8254C-7401-481D-95BF-E38DEE5FE142}" xr6:coauthVersionLast="47" xr6:coauthVersionMax="47" xr10:uidLastSave="{00000000-0000-0000-0000-000000000000}"/>
  <bookViews>
    <workbookView xWindow="0" yWindow="0" windowWidth="0" windowHeight="0" activeTab="2" xr2:uid="{00000000-000D-0000-FFFF-FFFF00000000}"/>
  </bookViews>
  <sheets>
    <sheet name="Master Data" sheetId="1" r:id="rId1"/>
    <sheet name="Package Types" sheetId="2" r:id="rId2"/>
    <sheet name="Package Selector" sheetId="3" r:id="rId3"/>
    <sheet name="Profit Summary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" i="3" l="1"/>
  <c r="I67" i="3"/>
  <c r="H67" i="3"/>
  <c r="G67" i="3"/>
  <c r="F67" i="3"/>
  <c r="I66" i="3"/>
  <c r="H66" i="3"/>
  <c r="G66" i="3"/>
  <c r="F66" i="3"/>
  <c r="I65" i="3"/>
  <c r="H65" i="3"/>
  <c r="G65" i="3"/>
  <c r="F65" i="3"/>
  <c r="I64" i="3"/>
  <c r="H64" i="3"/>
  <c r="G64" i="3"/>
  <c r="F64" i="3"/>
  <c r="I63" i="3"/>
  <c r="I68" i="3" s="1"/>
  <c r="H63" i="3"/>
  <c r="H68" i="3" s="1"/>
  <c r="G63" i="3"/>
  <c r="G68" i="3" s="1"/>
  <c r="F63" i="3"/>
  <c r="F68" i="3" s="1"/>
  <c r="J49" i="3"/>
  <c r="H49" i="3"/>
  <c r="I49" i="3" s="1"/>
  <c r="G49" i="3"/>
  <c r="E49" i="3"/>
  <c r="F49" i="3" s="1"/>
  <c r="D49" i="3"/>
  <c r="J48" i="3"/>
  <c r="E48" i="3"/>
  <c r="D48" i="3"/>
  <c r="G48" i="3" s="1"/>
  <c r="J47" i="3"/>
  <c r="J50" i="3" s="1"/>
  <c r="J58" i="3" s="1"/>
  <c r="E47" i="3"/>
  <c r="D47" i="3"/>
  <c r="G47" i="3" s="1"/>
  <c r="G50" i="3" s="1"/>
  <c r="J42" i="3"/>
  <c r="H42" i="3"/>
  <c r="I42" i="3" s="1"/>
  <c r="G42" i="3"/>
  <c r="E42" i="3"/>
  <c r="F42" i="3" s="1"/>
  <c r="D42" i="3"/>
  <c r="J41" i="3"/>
  <c r="H41" i="3"/>
  <c r="I41" i="3" s="1"/>
  <c r="G41" i="3"/>
  <c r="E41" i="3"/>
  <c r="F41" i="3" s="1"/>
  <c r="D41" i="3"/>
  <c r="J40" i="3"/>
  <c r="H40" i="3"/>
  <c r="I40" i="3" s="1"/>
  <c r="G40" i="3"/>
  <c r="E40" i="3"/>
  <c r="F40" i="3" s="1"/>
  <c r="D40" i="3"/>
  <c r="J39" i="3"/>
  <c r="H39" i="3"/>
  <c r="I39" i="3" s="1"/>
  <c r="G39" i="3"/>
  <c r="E39" i="3"/>
  <c r="F39" i="3" s="1"/>
  <c r="D39" i="3"/>
  <c r="J38" i="3"/>
  <c r="J43" i="3" s="1"/>
  <c r="J57" i="3" s="1"/>
  <c r="H38" i="3"/>
  <c r="G38" i="3"/>
  <c r="G43" i="3" s="1"/>
  <c r="E38" i="3"/>
  <c r="F38" i="3" s="1"/>
  <c r="D38" i="3"/>
  <c r="J33" i="3"/>
  <c r="H33" i="3"/>
  <c r="I33" i="3" s="1"/>
  <c r="G33" i="3"/>
  <c r="E33" i="3"/>
  <c r="F33" i="3" s="1"/>
  <c r="D33" i="3"/>
  <c r="J32" i="3"/>
  <c r="H32" i="3"/>
  <c r="I32" i="3" s="1"/>
  <c r="G32" i="3"/>
  <c r="E32" i="3"/>
  <c r="F32" i="3" s="1"/>
  <c r="D32" i="3"/>
  <c r="J31" i="3"/>
  <c r="J34" i="3" s="1"/>
  <c r="J56" i="3" s="1"/>
  <c r="E31" i="3"/>
  <c r="D31" i="3"/>
  <c r="G31" i="3" s="1"/>
  <c r="G34" i="3" s="1"/>
  <c r="J26" i="3"/>
  <c r="H26" i="3"/>
  <c r="I26" i="3" s="1"/>
  <c r="G26" i="3"/>
  <c r="E26" i="3"/>
  <c r="F26" i="3" s="1"/>
  <c r="D26" i="3"/>
  <c r="J25" i="3"/>
  <c r="H25" i="3"/>
  <c r="I25" i="3" s="1"/>
  <c r="G25" i="3"/>
  <c r="E25" i="3"/>
  <c r="F25" i="3" s="1"/>
  <c r="D25" i="3"/>
  <c r="J24" i="3"/>
  <c r="J27" i="3" s="1"/>
  <c r="J55" i="3" s="1"/>
  <c r="H24" i="3"/>
  <c r="G24" i="3"/>
  <c r="G27" i="3" s="1"/>
  <c r="E24" i="3"/>
  <c r="F24" i="3" s="1"/>
  <c r="D24" i="3"/>
  <c r="J19" i="3"/>
  <c r="H19" i="3"/>
  <c r="I19" i="3" s="1"/>
  <c r="G19" i="3"/>
  <c r="E19" i="3"/>
  <c r="F19" i="3" s="1"/>
  <c r="D19" i="3"/>
  <c r="J18" i="3"/>
  <c r="H18" i="3"/>
  <c r="I18" i="3" s="1"/>
  <c r="G18" i="3"/>
  <c r="E18" i="3"/>
  <c r="F18" i="3" s="1"/>
  <c r="D18" i="3"/>
  <c r="J17" i="3"/>
  <c r="E17" i="3"/>
  <c r="D17" i="3"/>
  <c r="G17" i="3" s="1"/>
  <c r="J16" i="3"/>
  <c r="E16" i="3"/>
  <c r="D16" i="3"/>
  <c r="G16" i="3" s="1"/>
  <c r="J15" i="3"/>
  <c r="J20" i="3" s="1"/>
  <c r="J54" i="3" s="1"/>
  <c r="J59" i="3" s="1"/>
  <c r="E15" i="3"/>
  <c r="D15" i="3"/>
  <c r="G15" i="3" s="1"/>
  <c r="G20" i="3" s="1"/>
  <c r="C11" i="3"/>
  <c r="I9" i="3"/>
  <c r="G9" i="3"/>
  <c r="I8" i="3"/>
  <c r="G8" i="3"/>
  <c r="N9" i="2"/>
  <c r="M9" i="2"/>
  <c r="N7" i="2"/>
  <c r="M7" i="2"/>
  <c r="N6" i="2"/>
  <c r="M6" i="2"/>
  <c r="N5" i="2"/>
  <c r="M5" i="2"/>
  <c r="D55" i="1"/>
  <c r="D54" i="1"/>
  <c r="D53" i="1"/>
  <c r="D52" i="1"/>
  <c r="D51" i="1"/>
  <c r="D50" i="1"/>
  <c r="D46" i="1"/>
  <c r="D45" i="1"/>
  <c r="D44" i="1"/>
  <c r="D43" i="1"/>
  <c r="D42" i="1"/>
  <c r="D41" i="1"/>
  <c r="D40" i="1"/>
  <c r="D39" i="1"/>
  <c r="D38" i="1"/>
  <c r="D34" i="1"/>
  <c r="D33" i="1"/>
  <c r="D32" i="1"/>
  <c r="D31" i="1"/>
  <c r="D30" i="1"/>
  <c r="D29" i="1"/>
  <c r="D28" i="1"/>
  <c r="D24" i="1"/>
  <c r="D23" i="1"/>
  <c r="D22" i="1"/>
  <c r="D21" i="1"/>
  <c r="D20" i="1"/>
  <c r="D19" i="1"/>
  <c r="D14" i="1"/>
  <c r="D13" i="1"/>
  <c r="D12" i="1"/>
  <c r="D11" i="1"/>
  <c r="D10" i="1"/>
  <c r="D9" i="1"/>
  <c r="D8" i="1"/>
  <c r="D7" i="1"/>
  <c r="F31" i="3" l="1"/>
  <c r="H31" i="3"/>
  <c r="F48" i="3"/>
  <c r="H48" i="3"/>
  <c r="I48" i="3" s="1"/>
  <c r="F47" i="3"/>
  <c r="H47" i="3"/>
  <c r="F17" i="3"/>
  <c r="H17" i="3"/>
  <c r="I17" i="3" s="1"/>
  <c r="F16" i="3"/>
  <c r="H16" i="3"/>
  <c r="I16" i="3" s="1"/>
  <c r="F15" i="3"/>
  <c r="H15" i="3"/>
  <c r="F11" i="3"/>
  <c r="I11" i="3" s="1"/>
  <c r="F73" i="3" s="1"/>
  <c r="B6" i="4"/>
  <c r="G54" i="3"/>
  <c r="H20" i="3"/>
  <c r="I15" i="3"/>
  <c r="I20" i="3" s="1"/>
  <c r="B7" i="4"/>
  <c r="F7" i="4" s="1"/>
  <c r="G55" i="3"/>
  <c r="H27" i="3"/>
  <c r="I24" i="3"/>
  <c r="I27" i="3" s="1"/>
  <c r="B8" i="4"/>
  <c r="F8" i="4" s="1"/>
  <c r="G56" i="3"/>
  <c r="H34" i="3"/>
  <c r="I31" i="3"/>
  <c r="I34" i="3" s="1"/>
  <c r="B9" i="4"/>
  <c r="F9" i="4" s="1"/>
  <c r="G57" i="3"/>
  <c r="H43" i="3"/>
  <c r="I38" i="3"/>
  <c r="I43" i="3" s="1"/>
  <c r="B10" i="4"/>
  <c r="F10" i="4" s="1"/>
  <c r="G58" i="3"/>
  <c r="H50" i="3"/>
  <c r="I47" i="3"/>
  <c r="I50" i="3" s="1"/>
  <c r="D10" i="4" l="1"/>
  <c r="H10" i="4" s="1"/>
  <c r="I58" i="3"/>
  <c r="C10" i="4"/>
  <c r="H58" i="3"/>
  <c r="K58" i="3" s="1"/>
  <c r="K67" i="3"/>
  <c r="E67" i="3"/>
  <c r="D67" i="3"/>
  <c r="C67" i="3"/>
  <c r="B67" i="3"/>
  <c r="J67" i="3" s="1"/>
  <c r="L67" i="3" s="1"/>
  <c r="D9" i="4"/>
  <c r="H9" i="4" s="1"/>
  <c r="I57" i="3"/>
  <c r="C9" i="4"/>
  <c r="H57" i="3"/>
  <c r="K57" i="3" s="1"/>
  <c r="K66" i="3"/>
  <c r="E66" i="3"/>
  <c r="D66" i="3"/>
  <c r="C66" i="3"/>
  <c r="B66" i="3"/>
  <c r="J66" i="3" s="1"/>
  <c r="L66" i="3" s="1"/>
  <c r="D8" i="4"/>
  <c r="H8" i="4" s="1"/>
  <c r="I56" i="3"/>
  <c r="C8" i="4"/>
  <c r="H56" i="3"/>
  <c r="K56" i="3" s="1"/>
  <c r="K65" i="3"/>
  <c r="E65" i="3"/>
  <c r="D65" i="3"/>
  <c r="C65" i="3"/>
  <c r="B65" i="3"/>
  <c r="J65" i="3" s="1"/>
  <c r="L65" i="3" s="1"/>
  <c r="D7" i="4"/>
  <c r="H7" i="4" s="1"/>
  <c r="I55" i="3"/>
  <c r="C7" i="4"/>
  <c r="H55" i="3"/>
  <c r="K55" i="3" s="1"/>
  <c r="K64" i="3"/>
  <c r="E64" i="3"/>
  <c r="D64" i="3"/>
  <c r="C64" i="3"/>
  <c r="B64" i="3"/>
  <c r="J64" i="3" s="1"/>
  <c r="L64" i="3" s="1"/>
  <c r="D6" i="4"/>
  <c r="I54" i="3"/>
  <c r="I59" i="3" s="1"/>
  <c r="F76" i="3" s="1"/>
  <c r="C6" i="4"/>
  <c r="H54" i="3"/>
  <c r="K63" i="3"/>
  <c r="E63" i="3"/>
  <c r="E68" i="3" s="1"/>
  <c r="D63" i="3"/>
  <c r="D68" i="3" s="1"/>
  <c r="C63" i="3"/>
  <c r="C68" i="3" s="1"/>
  <c r="B63" i="3"/>
  <c r="G59" i="3"/>
  <c r="B11" i="4"/>
  <c r="F6" i="4"/>
  <c r="F11" i="4" s="1"/>
  <c r="F75" i="3" l="1"/>
  <c r="K68" i="3"/>
  <c r="B68" i="3"/>
  <c r="J63" i="3"/>
  <c r="H59" i="3"/>
  <c r="K54" i="3"/>
  <c r="C11" i="4"/>
  <c r="G6" i="4"/>
  <c r="E6" i="4"/>
  <c r="D11" i="4"/>
  <c r="H6" i="4"/>
  <c r="H11" i="4" s="1"/>
  <c r="G7" i="4"/>
  <c r="E7" i="4"/>
  <c r="G8" i="4"/>
  <c r="E8" i="4"/>
  <c r="G9" i="4"/>
  <c r="E9" i="4"/>
  <c r="G10" i="4"/>
  <c r="E10" i="4"/>
  <c r="E11" i="4" l="1"/>
  <c r="G11" i="4"/>
  <c r="F74" i="3"/>
  <c r="K59" i="3"/>
  <c r="J68" i="3"/>
  <c r="L68" i="3" s="1"/>
  <c r="L63" i="3"/>
</calcChain>
</file>

<file path=xl/sharedStrings.xml><?xml version="1.0" encoding="utf-8"?>
<sst xmlns="http://schemas.openxmlformats.org/spreadsheetml/2006/main" count="306" uniqueCount="191">
  <si>
    <t>📊 MASTER DATA — 비용 파라미터 (수정 시 전 시트 자동 반영)</t>
  </si>
  <si>
    <t>⚠️ 🟡노란색=직접입력 | 🔵파란색=자동계산 | ⬜빈칸=신규항목 추가용</t>
  </si>
  <si>
    <t xml:space="preserve">    새 코스·호텔·편명 추가는 빈칸에 직접 입력 → 자동으로 드롭다운에 반영</t>
  </si>
  <si>
    <t>⛳ GOLF COURSES (1인 1라운드, USD)</t>
  </si>
  <si>
    <t>Course</t>
  </si>
  <si>
    <t>Cost ($)</t>
  </si>
  <si>
    <t>Sell ($)</t>
  </si>
  <si>
    <t>Margin ($)</t>
  </si>
  <si>
    <t>Replay Rate ($)</t>
  </si>
  <si>
    <t>Notes</t>
  </si>
  <si>
    <t>Trump National LA</t>
  </si>
  <si>
    <t>Member guest | Cart incl. | Replay ~50%</t>
  </si>
  <si>
    <t>Sandpiper GC</t>
  </si>
  <si>
    <t>UnderPar deal | Replay FREE | Non-Resident</t>
  </si>
  <si>
    <t>Hidden Valley GC</t>
  </si>
  <si>
    <t>teeitup.com | 9Stamps=1free | Replay twilight</t>
  </si>
  <si>
    <t>🏨 HOTEL (1인 1박, Double Occupancy, USD)</t>
  </si>
  <si>
    <t>Hotel</t>
  </si>
  <si>
    <t>Cost/night</t>
  </si>
  <si>
    <t>Sell/night</t>
  </si>
  <si>
    <t>Margin</t>
  </si>
  <si>
    <t>Beverly Wilshire (5★) / Same Tier</t>
  </si>
  <si>
    <t>$550/room ÷ 2 persons</t>
  </si>
  <si>
    <t>🚐 TRANSPORT (1인 기준, 4인 1조, USD)</t>
  </si>
  <si>
    <t>Item</t>
  </si>
  <si>
    <t>Cost/p</t>
  </si>
  <si>
    <t>Sell/p</t>
  </si>
  <si>
    <t>Driver/Guide + Van (일당)</t>
  </si>
  <si>
    <t>$500/day ÷ 4p | Driver=Guide</t>
  </si>
  <si>
    <t>Airport Roundtrip Pickup</t>
  </si>
  <si>
    <t>LAX ↔ Hotel, per person</t>
  </si>
  <si>
    <t>🍽️ MEALS (1인 1끼, USD)</t>
  </si>
  <si>
    <t>Meal</t>
  </si>
  <si>
    <t>Cost</t>
  </si>
  <si>
    <t>Sell</t>
  </si>
  <si>
    <t>Breakfast (Hotel)</t>
  </si>
  <si>
    <t>Daily included</t>
  </si>
  <si>
    <t>Lunch</t>
  </si>
  <si>
    <t>Dinner (Regular)</t>
  </si>
  <si>
    <t>Regular dinner</t>
  </si>
  <si>
    <t>Exclusive Dinner (Michelin/Fine)</t>
  </si>
  <si>
    <t>2x per trip</t>
  </si>
  <si>
    <t>📦 OTHER (1인 1일, USD)</t>
  </si>
  <si>
    <t>Insurance / Tips / Contingency</t>
  </si>
  <si>
    <t>Per person per day</t>
  </si>
  <si>
    <t>✈️ FLIGHT SCHEDULE — ICN ↔ LAX (현지시간 기준)</t>
  </si>
  <si>
    <t>Flight#</t>
  </si>
  <si>
    <t>Airline</t>
  </si>
  <si>
    <t>Dep Time (출발)</t>
  </si>
  <si>
    <t>Arr Time (도착)</t>
  </si>
  <si>
    <t>Direction</t>
  </si>
  <si>
    <t>KE011</t>
  </si>
  <si>
    <t>Korean Air</t>
  </si>
  <si>
    <t>19:40</t>
  </si>
  <si>
    <t>14:30</t>
  </si>
  <si>
    <t>ICN→LAX</t>
  </si>
  <si>
    <t>Daily B747-8</t>
  </si>
  <si>
    <t>KE017</t>
  </si>
  <si>
    <t>09:20</t>
  </si>
  <si>
    <t>Daily B777</t>
  </si>
  <si>
    <t>OZ202</t>
  </si>
  <si>
    <t>Asiana</t>
  </si>
  <si>
    <t>14:40</t>
  </si>
  <si>
    <t>09:30</t>
  </si>
  <si>
    <t>Daily A380</t>
  </si>
  <si>
    <t>OZ204</t>
  </si>
  <si>
    <t>20:40</t>
  </si>
  <si>
    <t>15:30</t>
  </si>
  <si>
    <t>Daily A350</t>
  </si>
  <si>
    <t>✈️ RETURN FLIGHTS (LAX → ICN)</t>
  </si>
  <si>
    <t>KE012</t>
  </si>
  <si>
    <t>23:50</t>
  </si>
  <si>
    <t>05:00+2</t>
  </si>
  <si>
    <t>LAX→ICN</t>
  </si>
  <si>
    <t xml:space="preserve">Daily B747-8 </t>
  </si>
  <si>
    <t>KE018</t>
  </si>
  <si>
    <t>13:30</t>
  </si>
  <si>
    <t>18:40+1</t>
  </si>
  <si>
    <t>OZ201</t>
  </si>
  <si>
    <t>23:30</t>
  </si>
  <si>
    <t>04:30+2</t>
  </si>
  <si>
    <t>OZ203</t>
  </si>
  <si>
    <t>13:00</t>
  </si>
  <si>
    <t>18:10+1</t>
  </si>
  <si>
    <t>🎯 결 TOUR — 대표 패키지 (1인 기준, USD | 중복코스 없음)</t>
  </si>
  <si>
    <t>⚠️ 참고용 대표패키지 → 'Package Selector' 시트에서 자유롭게 커스터마이징</t>
  </si>
  <si>
    <t>No</t>
  </si>
  <si>
    <t>ID</t>
  </si>
  <si>
    <t>일정</t>
  </si>
  <si>
    <t>패키지명</t>
  </si>
  <si>
    <t>박</t>
  </si>
  <si>
    <t>일</t>
  </si>
  <si>
    <t>Rds</t>
  </si>
  <si>
    <t>코스구성</t>
  </si>
  <si>
    <t>골프C</t>
  </si>
  <si>
    <t>골프S</t>
  </si>
  <si>
    <t>호텔C</t>
  </si>
  <si>
    <t>호텔S</t>
  </si>
  <si>
    <t>마진</t>
  </si>
  <si>
    <t>마진율</t>
  </si>
  <si>
    <t>S1</t>
  </si>
  <si>
    <t>3N4D</t>
  </si>
  <si>
    <t>트럼프 + 샌드파이퍼 오션뷰</t>
  </si>
  <si>
    <t>Trump×1 + Sand×1</t>
  </si>
  <si>
    <t>S2</t>
  </si>
  <si>
    <t>트럼프 + 히든밸리 밸리뷰</t>
  </si>
  <si>
    <t>Trump×1 + HV×1</t>
  </si>
  <si>
    <t>S3</t>
  </si>
  <si>
    <t>샌드파이퍼 + 히든밸리</t>
  </si>
  <si>
    <t>Sand×1 + HV×1</t>
  </si>
  <si>
    <t>M1</t>
  </si>
  <si>
    <t>5N7D</t>
  </si>
  <si>
    <t>트럼프+샌드+히든 3色 시그니처</t>
  </si>
  <si>
    <t>Trump×1+Sand×1+HV×1</t>
  </si>
  <si>
    <t>🎯 결 TOUR — Package Selector &amp; Estimator</t>
  </si>
  <si>
    <t>⬇️ 드롭다운 선택 → 가격 자동계산 → 항공편 연동 → 나만의 견적 완성!</t>
  </si>
  <si>
    <t>📋 PACKAGE INFO</t>
  </si>
  <si>
    <t>Package Name</t>
  </si>
  <si>
    <t>Golfers</t>
  </si>
  <si>
    <t>persons</t>
  </si>
  <si>
    <t>✈️ FLIGHT DETAILS (현지시간 기준)</t>
  </si>
  <si>
    <t>✈️ Outbound</t>
  </si>
  <si>
    <t>Date (mm/dd)</t>
  </si>
  <si>
    <t>→ Dep ICN:</t>
  </si>
  <si>
    <t>Arr LAX:</t>
  </si>
  <si>
    <t>(day before or same day)</t>
  </si>
  <si>
    <t>✈️ Return</t>
  </si>
  <si>
    <t>→ Dep LAX:</t>
  </si>
  <si>
    <t>Arr ICN:</t>
  </si>
  <si>
    <t>(+1 or +2 days)</t>
  </si>
  <si>
    <t>📅 Trip Duration</t>
  </si>
  <si>
    <t>Nights (auto)</t>
  </si>
  <si>
    <t>nights</t>
  </si>
  <si>
    <t>Days (auto)</t>
  </si>
  <si>
    <t>days</t>
  </si>
  <si>
    <t>Duration:</t>
  </si>
  <si>
    <t>⛳ GOLF (1인 1라운드) — Replay=2라운드째부터 자동계산</t>
  </si>
  <si>
    <t>#</t>
  </si>
  <si>
    <t>Item (Select ▼)</t>
  </si>
  <si>
    <t>Qty</t>
  </si>
  <si>
    <t>Cost/unit</t>
  </si>
  <si>
    <t>Sell/unit</t>
  </si>
  <si>
    <t>Margin/u</t>
  </si>
  <si>
    <t>Total Cost</t>
  </si>
  <si>
    <t>Total Sell</t>
  </si>
  <si>
    <t>Total Margin</t>
  </si>
  <si>
    <t>Replay</t>
  </si>
  <si>
    <t>SUBTOTAL</t>
  </si>
  <si>
    <t>🏨 HOTEL (1인 1박)</t>
  </si>
  <si>
    <t>🚐 TRANSPORT (1인 기준)</t>
  </si>
  <si>
    <t>🍽️ MEALS (1인 1끼)</t>
  </si>
  <si>
    <t>📦 OTHER (1인 1일)</t>
  </si>
  <si>
    <t>🏆 GRAND TOTAL</t>
  </si>
  <si>
    <t>Category</t>
  </si>
  <si>
    <t>Replay Total</t>
  </si>
  <si>
    <t>Margin%</t>
  </si>
  <si>
    <t>GOLF</t>
  </si>
  <si>
    <t>HOTEL</t>
  </si>
  <si>
    <t>TRANSPORT</t>
  </si>
  <si>
    <t>MEALS</t>
  </si>
  <si>
    <t>OTHER</t>
  </si>
  <si>
    <t>📌 GRAND TOTAL</t>
  </si>
  <si>
    <t>👤 MULTI-DIRECTIONAL COST ALLOCATION (per person — override any yellow cell)</t>
  </si>
  <si>
    <t>P1</t>
  </si>
  <si>
    <t>P2</t>
  </si>
  <si>
    <t>P3</t>
  </si>
  <si>
    <t>P4</t>
  </si>
  <si>
    <t>P5</t>
  </si>
  <si>
    <t>P6</t>
  </si>
  <si>
    <t>P7</t>
  </si>
  <si>
    <t>P8</t>
  </si>
  <si>
    <t>Category Total</t>
  </si>
  <si>
    <t>Grand Total</t>
  </si>
  <si>
    <t>✓Check</t>
  </si>
  <si>
    <t>TOTAL</t>
  </si>
  <si>
    <t>💡 노란색 셀은 직접 수정 가능 (별도 호텔·이동 인원 발생 시 해당 셀만 변경). 가로합=Cat Total, 세로합=TOTAL 체크.</t>
  </si>
  <si>
    <t>💡 ✓Check 가 0 이면 분배 정확. ≠0 이면 누군가에게 더/덜 배분된 것 (의도적일 수 있음).</t>
  </si>
  <si>
    <t>👤 PER PERSON QUICK SUMMARY</t>
  </si>
  <si>
    <t>Golfers:</t>
  </si>
  <si>
    <t>Per Person Total:</t>
  </si>
  <si>
    <t>Per Person Cost:</t>
  </si>
  <si>
    <t>Per Person Margin:</t>
  </si>
  <si>
    <t>📊 PROFIT SUMMARY — Package Selector 결과 자동 반영</t>
  </si>
  <si>
    <t>⬇️ 'Package Selector' 시트에서 선택한 항목에 따라 자동 업데이트</t>
  </si>
  <si>
    <t>💰 PACKAGE PROFIT OVERVIEW</t>
  </si>
  <si>
    <t>Per Person Cost</t>
  </si>
  <si>
    <t>Per Person Sell</t>
  </si>
  <si>
    <t>Per Person Margin</t>
  </si>
  <si>
    <t>📌 TOTAL</t>
  </si>
  <si>
    <t>💡 'Package Selector' 시트에서 선택 변경 시 이 요약표가 자동 업데이트됩니다.</t>
  </si>
  <si>
    <t>💡 마스터데이터 가격 수정 → Package Selector → Profit Summary 전부 자동 연동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</si>
</sst>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7">
    <font>
      <sz val="11"/>
      <color theme="1"/>
      <name val="Calibri"/>
      <family val="2"/>
      <scheme val="minor"/>
    </font>
    <font>
      <b/>
      <sz val="14"/>
      <color rgb="FF1A3450"/>
      <name val="Calibri"/>
    </font>
    <font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1A3450"/>
      <name val="Calibri"/>
    </font>
    <font>
      <b/>
      <sz val="11"/>
      <color rgb="FF1A345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3" fontId="4" fillId="5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3" fontId="4" fillId="7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0" fontId="0" fillId="6" borderId="0" xfId="0" applyFill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right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6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1" fontId="4" fillId="5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right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1" fillId="7" borderId="1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6" fillId="6" borderId="1" xfId="0" applyFont="1" applyFill="1" applyBorder="1" applyAlignment="1">
      <alignment horizontal="righ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/>
    <xf numFmtId="16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/>
    <xf numFmtId="0" fontId="0" fillId="2" borderId="1" xfId="0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3450"/>
  </sheetPr>
  <dimension ref="A1:G82"/>
  <sheetViews>
    <sheetView workbookViewId="0">
      <pane ySplit="5" topLeftCell="A62" activePane="bottomLeft" state="frozen"/>
      <selection pane="bottomLeft" activeCell="G74" sqref="G74"/>
    </sheetView>
  </sheetViews>
  <sheetFormatPr defaultRowHeight="15"/>
  <cols>
    <col min="1" max="1" width="35.7109375" customWidth="1"/>
    <col min="2" max="2" width="10.28515625" bestFit="1" customWidth="1"/>
    <col min="3" max="3" width="15.42578125" bestFit="1" customWidth="1"/>
    <col min="4" max="5" width="14" customWidth="1"/>
    <col min="6" max="6" width="40" customWidth="1"/>
    <col min="7" max="7" width="25.28515625" customWidth="1"/>
  </cols>
  <sheetData>
    <row r="1" spans="1:7" ht="28.5" customHeight="1">
      <c r="A1" s="32" t="s">
        <v>0</v>
      </c>
      <c r="B1" s="42"/>
      <c r="C1" s="42"/>
      <c r="D1" s="42"/>
      <c r="E1" s="42"/>
      <c r="F1" s="42"/>
      <c r="G1" s="42"/>
    </row>
    <row r="2" spans="1:7">
      <c r="A2" s="37" t="s">
        <v>1</v>
      </c>
    </row>
    <row r="3" spans="1:7">
      <c r="A3" s="37" t="s">
        <v>2</v>
      </c>
    </row>
    <row r="5" spans="1:7">
      <c r="A5" s="31" t="s">
        <v>3</v>
      </c>
      <c r="B5" s="43"/>
      <c r="C5" s="43"/>
      <c r="D5" s="43"/>
      <c r="E5" s="43"/>
      <c r="F5" s="43"/>
      <c r="G5" s="43"/>
    </row>
    <row r="6" spans="1:7" ht="30.7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/>
    </row>
    <row r="7" spans="1:7">
      <c r="A7" s="40" t="s">
        <v>10</v>
      </c>
      <c r="B7" s="4">
        <v>210</v>
      </c>
      <c r="C7" s="4">
        <v>210</v>
      </c>
      <c r="D7" s="5">
        <f>IF(A7="","",C7-B7)</f>
        <v>0</v>
      </c>
      <c r="E7" s="4">
        <v>111</v>
      </c>
      <c r="F7" s="6" t="s">
        <v>11</v>
      </c>
    </row>
    <row r="8" spans="1:7">
      <c r="A8" s="40" t="s">
        <v>12</v>
      </c>
      <c r="B8" s="4">
        <v>130</v>
      </c>
      <c r="C8" s="4">
        <v>130</v>
      </c>
      <c r="D8" s="5">
        <f>IF(A8="","",C8-B8)</f>
        <v>0</v>
      </c>
      <c r="E8" s="4">
        <v>120</v>
      </c>
      <c r="F8" s="6" t="s">
        <v>13</v>
      </c>
    </row>
    <row r="9" spans="1:7" ht="30.75">
      <c r="A9" s="40" t="s">
        <v>14</v>
      </c>
      <c r="B9" s="4">
        <v>109</v>
      </c>
      <c r="C9" s="4">
        <v>109</v>
      </c>
      <c r="D9" s="5">
        <f>IF(A9="","",C9-B9)</f>
        <v>0</v>
      </c>
      <c r="E9" s="4">
        <v>45</v>
      </c>
      <c r="F9" s="6" t="s">
        <v>15</v>
      </c>
    </row>
    <row r="10" spans="1:7">
      <c r="A10" s="40"/>
      <c r="B10" s="4"/>
      <c r="C10" s="4"/>
      <c r="D10" s="5" t="str">
        <f>IF(A10="","",C10-B10)</f>
        <v/>
      </c>
      <c r="E10" s="4"/>
      <c r="F10" s="6"/>
    </row>
    <row r="11" spans="1:7">
      <c r="A11" s="40"/>
      <c r="B11" s="4"/>
      <c r="C11" s="4"/>
      <c r="D11" s="5" t="str">
        <f>IF(A11="","",C11-B11)</f>
        <v/>
      </c>
      <c r="E11" s="4"/>
      <c r="F11" s="6"/>
    </row>
    <row r="12" spans="1:7">
      <c r="A12" s="40"/>
      <c r="B12" s="4"/>
      <c r="C12" s="4"/>
      <c r="D12" s="5" t="str">
        <f>IF(A12="","",C12-B12)</f>
        <v/>
      </c>
      <c r="E12" s="4"/>
      <c r="F12" s="6"/>
    </row>
    <row r="13" spans="1:7">
      <c r="A13" s="40"/>
      <c r="B13" s="4"/>
      <c r="C13" s="4"/>
      <c r="D13" s="5" t="str">
        <f>IF(A13="","",C13-B13)</f>
        <v/>
      </c>
      <c r="E13" s="4"/>
      <c r="F13" s="6"/>
    </row>
    <row r="14" spans="1:7">
      <c r="A14" s="40"/>
      <c r="B14" s="4"/>
      <c r="C14" s="4"/>
      <c r="D14" s="5" t="str">
        <f>IF(A14="","",C14-B14)</f>
        <v/>
      </c>
      <c r="E14" s="4"/>
      <c r="F14" s="6"/>
    </row>
    <row r="17" spans="1:7">
      <c r="A17" s="31" t="s">
        <v>16</v>
      </c>
      <c r="B17" s="43"/>
      <c r="C17" s="43"/>
      <c r="D17" s="43"/>
      <c r="E17" s="43"/>
      <c r="F17" s="43"/>
      <c r="G17" s="43"/>
    </row>
    <row r="18" spans="1:7">
      <c r="A18" s="2" t="s">
        <v>17</v>
      </c>
      <c r="B18" s="2" t="s">
        <v>18</v>
      </c>
      <c r="C18" s="2" t="s">
        <v>19</v>
      </c>
      <c r="D18" s="2" t="s">
        <v>20</v>
      </c>
      <c r="E18" s="2"/>
      <c r="F18" s="2" t="s">
        <v>9</v>
      </c>
      <c r="G18" s="2"/>
    </row>
    <row r="19" spans="1:7" ht="16.5">
      <c r="A19" s="40" t="s">
        <v>21</v>
      </c>
      <c r="B19" s="4">
        <v>275</v>
      </c>
      <c r="C19" s="4">
        <v>375</v>
      </c>
      <c r="D19" s="5">
        <f>IF(A19="","",C19-B19)</f>
        <v>100</v>
      </c>
      <c r="F19" s="6" t="s">
        <v>22</v>
      </c>
    </row>
    <row r="20" spans="1:7">
      <c r="A20" s="40"/>
      <c r="B20" s="4"/>
      <c r="C20" s="4"/>
      <c r="D20" s="5" t="str">
        <f>IF(A20="","",C20-B20)</f>
        <v/>
      </c>
      <c r="F20" s="6"/>
    </row>
    <row r="21" spans="1:7">
      <c r="A21" s="40"/>
      <c r="B21" s="4"/>
      <c r="C21" s="4"/>
      <c r="D21" s="5" t="str">
        <f>IF(A21="","",C21-B21)</f>
        <v/>
      </c>
      <c r="F21" s="6"/>
    </row>
    <row r="22" spans="1:7">
      <c r="A22" s="40"/>
      <c r="B22" s="4"/>
      <c r="C22" s="4"/>
      <c r="D22" s="5" t="str">
        <f>IF(A22="","",C22-B22)</f>
        <v/>
      </c>
      <c r="F22" s="6"/>
    </row>
    <row r="23" spans="1:7">
      <c r="A23" s="40"/>
      <c r="B23" s="4"/>
      <c r="C23" s="4"/>
      <c r="D23" s="5" t="str">
        <f>IF(A23="","",C23-B23)</f>
        <v/>
      </c>
      <c r="F23" s="6"/>
    </row>
    <row r="24" spans="1:7">
      <c r="A24" s="40"/>
      <c r="B24" s="4"/>
      <c r="C24" s="4"/>
      <c r="D24" s="5" t="str">
        <f>IF(A24="","",C24-B24)</f>
        <v/>
      </c>
      <c r="F24" s="6"/>
    </row>
    <row r="26" spans="1:7">
      <c r="A26" s="31" t="s">
        <v>23</v>
      </c>
      <c r="B26" s="43"/>
      <c r="C26" s="43"/>
      <c r="D26" s="43"/>
      <c r="E26" s="43"/>
      <c r="F26" s="43"/>
      <c r="G26" s="43"/>
    </row>
    <row r="27" spans="1:7">
      <c r="A27" s="2" t="s">
        <v>24</v>
      </c>
      <c r="B27" s="2" t="s">
        <v>25</v>
      </c>
      <c r="C27" s="2" t="s">
        <v>26</v>
      </c>
      <c r="D27" s="2" t="s">
        <v>20</v>
      </c>
      <c r="E27" s="2"/>
      <c r="F27" s="2" t="s">
        <v>9</v>
      </c>
      <c r="G27" s="2"/>
    </row>
    <row r="28" spans="1:7" ht="16.5">
      <c r="A28" s="40" t="s">
        <v>27</v>
      </c>
      <c r="B28" s="4">
        <v>125</v>
      </c>
      <c r="C28" s="4">
        <v>175</v>
      </c>
      <c r="D28" s="5">
        <f>IF(A28="","",C28-B28)</f>
        <v>50</v>
      </c>
      <c r="F28" s="6" t="s">
        <v>28</v>
      </c>
    </row>
    <row r="29" spans="1:7">
      <c r="A29" s="40" t="s">
        <v>29</v>
      </c>
      <c r="B29" s="4">
        <v>75</v>
      </c>
      <c r="C29" s="4">
        <v>120</v>
      </c>
      <c r="D29" s="5">
        <f>IF(A29="","",C29-B29)</f>
        <v>45</v>
      </c>
      <c r="F29" s="6" t="s">
        <v>30</v>
      </c>
    </row>
    <row r="30" spans="1:7">
      <c r="A30" s="40"/>
      <c r="B30" s="4"/>
      <c r="C30" s="4"/>
      <c r="D30" s="5" t="str">
        <f>IF(A30="","",C30-B30)</f>
        <v/>
      </c>
      <c r="F30" s="6"/>
    </row>
    <row r="31" spans="1:7">
      <c r="A31" s="40"/>
      <c r="B31" s="4"/>
      <c r="C31" s="4"/>
      <c r="D31" s="5" t="str">
        <f>IF(A31="","",C31-B31)</f>
        <v/>
      </c>
      <c r="F31" s="6"/>
    </row>
    <row r="32" spans="1:7">
      <c r="A32" s="40"/>
      <c r="B32" s="4"/>
      <c r="C32" s="4"/>
      <c r="D32" s="5" t="str">
        <f>IF(A32="","",C32-B32)</f>
        <v/>
      </c>
      <c r="F32" s="6"/>
    </row>
    <row r="33" spans="1:7">
      <c r="A33" s="40"/>
      <c r="B33" s="4"/>
      <c r="C33" s="4"/>
      <c r="D33" s="5" t="str">
        <f>IF(A33="","",C33-B33)</f>
        <v/>
      </c>
      <c r="F33" s="6"/>
    </row>
    <row r="34" spans="1:7">
      <c r="A34" s="40"/>
      <c r="B34" s="4"/>
      <c r="C34" s="4"/>
      <c r="D34" s="5" t="str">
        <f>IF(A34="","",C34-B34)</f>
        <v/>
      </c>
      <c r="F34" s="6"/>
    </row>
    <row r="36" spans="1:7">
      <c r="A36" s="31" t="s">
        <v>31</v>
      </c>
      <c r="B36" s="43"/>
      <c r="C36" s="43"/>
      <c r="D36" s="43"/>
      <c r="E36" s="43"/>
      <c r="F36" s="43"/>
      <c r="G36" s="43"/>
    </row>
    <row r="37" spans="1:7">
      <c r="A37" s="2" t="s">
        <v>32</v>
      </c>
      <c r="B37" s="2" t="s">
        <v>33</v>
      </c>
      <c r="C37" s="2" t="s">
        <v>34</v>
      </c>
      <c r="D37" s="2" t="s">
        <v>20</v>
      </c>
      <c r="E37" s="2"/>
      <c r="F37" s="2" t="s">
        <v>9</v>
      </c>
      <c r="G37" s="2"/>
    </row>
    <row r="38" spans="1:7">
      <c r="A38" s="40" t="s">
        <v>35</v>
      </c>
      <c r="B38" s="4">
        <v>30</v>
      </c>
      <c r="C38" s="4">
        <v>45</v>
      </c>
      <c r="D38" s="5">
        <f>IF(A38="","",C38-B38)</f>
        <v>15</v>
      </c>
      <c r="F38" s="6" t="s">
        <v>36</v>
      </c>
    </row>
    <row r="39" spans="1:7">
      <c r="A39" s="40" t="s">
        <v>37</v>
      </c>
      <c r="B39" s="4">
        <v>40</v>
      </c>
      <c r="C39" s="4">
        <v>60</v>
      </c>
      <c r="D39" s="5">
        <f>IF(A39="","",C39-B39)</f>
        <v>20</v>
      </c>
      <c r="F39" s="6" t="s">
        <v>36</v>
      </c>
    </row>
    <row r="40" spans="1:7">
      <c r="A40" s="40" t="s">
        <v>38</v>
      </c>
      <c r="B40" s="4">
        <v>80</v>
      </c>
      <c r="C40" s="4">
        <v>120</v>
      </c>
      <c r="D40" s="5">
        <f>IF(A40="","",C40-B40)</f>
        <v>40</v>
      </c>
      <c r="F40" s="6" t="s">
        <v>39</v>
      </c>
    </row>
    <row r="41" spans="1:7">
      <c r="A41" s="40" t="s">
        <v>40</v>
      </c>
      <c r="B41" s="4">
        <v>120</v>
      </c>
      <c r="C41" s="4">
        <v>180</v>
      </c>
      <c r="D41" s="5">
        <f>IF(A41="","",C41-B41)</f>
        <v>60</v>
      </c>
      <c r="F41" s="6" t="s">
        <v>41</v>
      </c>
    </row>
    <row r="42" spans="1:7">
      <c r="A42" s="40"/>
      <c r="B42" s="4"/>
      <c r="C42" s="4"/>
      <c r="D42" s="5" t="str">
        <f>IF(A42="","",C42-B42)</f>
        <v/>
      </c>
      <c r="F42" s="6"/>
    </row>
    <row r="43" spans="1:7">
      <c r="A43" s="40"/>
      <c r="B43" s="4"/>
      <c r="C43" s="4"/>
      <c r="D43" s="5" t="str">
        <f>IF(A43="","",C43-B43)</f>
        <v/>
      </c>
      <c r="F43" s="6"/>
    </row>
    <row r="44" spans="1:7">
      <c r="A44" s="40"/>
      <c r="B44" s="4"/>
      <c r="C44" s="4"/>
      <c r="D44" s="5" t="str">
        <f>IF(A44="","",C44-B44)</f>
        <v/>
      </c>
      <c r="F44" s="6"/>
    </row>
    <row r="45" spans="1:7">
      <c r="A45" s="40"/>
      <c r="B45" s="4"/>
      <c r="C45" s="4"/>
      <c r="D45" s="5" t="str">
        <f>IF(A45="","",C45-B45)</f>
        <v/>
      </c>
      <c r="F45" s="6"/>
    </row>
    <row r="46" spans="1:7">
      <c r="A46" s="40"/>
      <c r="B46" s="4"/>
      <c r="C46" s="4"/>
      <c r="D46" s="5" t="str">
        <f>IF(A46="","",C46-B46)</f>
        <v/>
      </c>
      <c r="F46" s="6"/>
    </row>
    <row r="48" spans="1:7">
      <c r="A48" s="31" t="s">
        <v>42</v>
      </c>
      <c r="B48" s="43"/>
      <c r="C48" s="43"/>
      <c r="D48" s="43"/>
      <c r="E48" s="43"/>
      <c r="F48" s="43"/>
      <c r="G48" s="43"/>
    </row>
    <row r="49" spans="1:7">
      <c r="A49" s="2" t="s">
        <v>24</v>
      </c>
      <c r="B49" s="2" t="s">
        <v>33</v>
      </c>
      <c r="C49" s="2" t="s">
        <v>34</v>
      </c>
      <c r="D49" s="2" t="s">
        <v>20</v>
      </c>
      <c r="E49" s="2"/>
      <c r="F49" s="2" t="s">
        <v>9</v>
      </c>
      <c r="G49" s="2"/>
    </row>
    <row r="50" spans="1:7">
      <c r="A50" s="40" t="s">
        <v>43</v>
      </c>
      <c r="B50" s="4">
        <v>50</v>
      </c>
      <c r="C50" s="4">
        <v>75</v>
      </c>
      <c r="D50" s="5">
        <f>IF(A50="","",C50-B50)</f>
        <v>25</v>
      </c>
      <c r="F50" s="6" t="s">
        <v>44</v>
      </c>
    </row>
    <row r="51" spans="1:7">
      <c r="A51" s="40"/>
      <c r="B51" s="4"/>
      <c r="C51" s="4"/>
      <c r="D51" s="5" t="str">
        <f>IF(A51="","",C51-B51)</f>
        <v/>
      </c>
      <c r="F51" s="6"/>
    </row>
    <row r="52" spans="1:7">
      <c r="A52" s="40"/>
      <c r="B52" s="4"/>
      <c r="C52" s="4"/>
      <c r="D52" s="5" t="str">
        <f>IF(A52="","",C52-B52)</f>
        <v/>
      </c>
      <c r="F52" s="6"/>
    </row>
    <row r="53" spans="1:7">
      <c r="A53" s="40"/>
      <c r="B53" s="4"/>
      <c r="C53" s="4"/>
      <c r="D53" s="5" t="str">
        <f>IF(A53="","",C53-B53)</f>
        <v/>
      </c>
      <c r="F53" s="6"/>
    </row>
    <row r="54" spans="1:7">
      <c r="A54" s="40"/>
      <c r="B54" s="4"/>
      <c r="C54" s="4"/>
      <c r="D54" s="5" t="str">
        <f>IF(A54="","",C54-B54)</f>
        <v/>
      </c>
      <c r="F54" s="6"/>
    </row>
    <row r="55" spans="1:7">
      <c r="A55" s="40"/>
      <c r="B55" s="4"/>
      <c r="C55" s="4"/>
      <c r="D55" s="5" t="str">
        <f>IF(A55="","",C55-B55)</f>
        <v/>
      </c>
      <c r="F55" s="6"/>
    </row>
    <row r="58" spans="1:7">
      <c r="A58" s="31" t="s">
        <v>45</v>
      </c>
      <c r="B58" s="43"/>
      <c r="C58" s="43"/>
      <c r="D58" s="43"/>
      <c r="E58" s="43"/>
      <c r="F58" s="43"/>
      <c r="G58" s="43"/>
    </row>
    <row r="59" spans="1:7" ht="34.5">
      <c r="A59" s="2" t="s">
        <v>46</v>
      </c>
      <c r="B59" s="2" t="s">
        <v>47</v>
      </c>
      <c r="C59" s="2" t="s">
        <v>48</v>
      </c>
      <c r="D59" s="2" t="s">
        <v>49</v>
      </c>
      <c r="E59" s="2" t="s">
        <v>50</v>
      </c>
      <c r="F59" s="2" t="s">
        <v>9</v>
      </c>
      <c r="G59" s="2"/>
    </row>
    <row r="60" spans="1:7">
      <c r="A60" s="40" t="s">
        <v>51</v>
      </c>
      <c r="B60" s="6" t="s">
        <v>52</v>
      </c>
      <c r="C60" s="6" t="s">
        <v>53</v>
      </c>
      <c r="D60" s="6" t="s">
        <v>54</v>
      </c>
      <c r="E60" s="6" t="s">
        <v>55</v>
      </c>
      <c r="F60" s="6" t="s">
        <v>56</v>
      </c>
    </row>
    <row r="61" spans="1:7">
      <c r="A61" s="40" t="s">
        <v>57</v>
      </c>
      <c r="B61" s="6" t="s">
        <v>52</v>
      </c>
      <c r="C61" s="6" t="s">
        <v>54</v>
      </c>
      <c r="D61" s="6" t="s">
        <v>58</v>
      </c>
      <c r="E61" s="6" t="s">
        <v>55</v>
      </c>
      <c r="F61" s="6" t="s">
        <v>59</v>
      </c>
    </row>
    <row r="62" spans="1:7">
      <c r="A62" s="40" t="s">
        <v>60</v>
      </c>
      <c r="B62" s="6" t="s">
        <v>61</v>
      </c>
      <c r="C62" s="6" t="s">
        <v>62</v>
      </c>
      <c r="D62" s="6" t="s">
        <v>63</v>
      </c>
      <c r="E62" s="6" t="s">
        <v>55</v>
      </c>
      <c r="F62" s="6" t="s">
        <v>64</v>
      </c>
    </row>
    <row r="63" spans="1:7">
      <c r="A63" s="40" t="s">
        <v>65</v>
      </c>
      <c r="B63" s="6" t="s">
        <v>61</v>
      </c>
      <c r="C63" s="6" t="s">
        <v>66</v>
      </c>
      <c r="D63" s="6" t="s">
        <v>67</v>
      </c>
      <c r="E63" s="6" t="s">
        <v>55</v>
      </c>
      <c r="F63" s="6" t="s">
        <v>68</v>
      </c>
    </row>
    <row r="64" spans="1:7">
      <c r="A64" s="40"/>
      <c r="B64" s="6"/>
      <c r="C64" s="6"/>
      <c r="D64" s="6"/>
      <c r="E64" s="6"/>
      <c r="F64" s="6"/>
    </row>
    <row r="65" spans="1:7">
      <c r="A65" s="40"/>
      <c r="B65" s="6"/>
      <c r="C65" s="6"/>
      <c r="D65" s="6"/>
      <c r="E65" s="6"/>
      <c r="F65" s="6"/>
    </row>
    <row r="66" spans="1:7">
      <c r="A66" s="40"/>
      <c r="B66" s="6"/>
      <c r="C66" s="6"/>
      <c r="D66" s="6"/>
      <c r="E66" s="6"/>
      <c r="F66" s="6"/>
    </row>
    <row r="67" spans="1:7">
      <c r="A67" s="40"/>
      <c r="B67" s="6"/>
      <c r="C67" s="6"/>
      <c r="D67" s="6"/>
      <c r="E67" s="6"/>
      <c r="F67" s="6"/>
    </row>
    <row r="68" spans="1:7">
      <c r="A68" s="40"/>
      <c r="B68" s="6"/>
      <c r="C68" s="6"/>
      <c r="D68" s="6"/>
      <c r="E68" s="6"/>
      <c r="F68" s="6"/>
    </row>
    <row r="72" spans="1:7">
      <c r="A72" s="31" t="s">
        <v>69</v>
      </c>
      <c r="B72" s="43"/>
      <c r="C72" s="43"/>
      <c r="D72" s="43"/>
      <c r="E72" s="43"/>
      <c r="F72" s="43"/>
      <c r="G72" s="43"/>
    </row>
    <row r="73" spans="1:7" ht="34.5">
      <c r="A73" s="2" t="s">
        <v>46</v>
      </c>
      <c r="B73" s="2" t="s">
        <v>47</v>
      </c>
      <c r="C73" s="2" t="s">
        <v>48</v>
      </c>
      <c r="D73" s="2" t="s">
        <v>49</v>
      </c>
      <c r="E73" s="2" t="s">
        <v>50</v>
      </c>
      <c r="F73" s="2" t="s">
        <v>9</v>
      </c>
      <c r="G73" s="2"/>
    </row>
    <row r="74" spans="1:7">
      <c r="A74" s="40" t="s">
        <v>70</v>
      </c>
      <c r="B74" s="6" t="s">
        <v>52</v>
      </c>
      <c r="C74" s="6" t="s">
        <v>71</v>
      </c>
      <c r="D74" s="6" t="s">
        <v>72</v>
      </c>
      <c r="E74" s="6" t="s">
        <v>73</v>
      </c>
      <c r="F74" s="6" t="s">
        <v>74</v>
      </c>
      <c r="G74" s="41"/>
    </row>
    <row r="75" spans="1:7">
      <c r="A75" s="40" t="s">
        <v>75</v>
      </c>
      <c r="B75" s="6" t="s">
        <v>52</v>
      </c>
      <c r="C75" s="6" t="s">
        <v>76</v>
      </c>
      <c r="D75" s="6" t="s">
        <v>77</v>
      </c>
      <c r="E75" s="6" t="s">
        <v>73</v>
      </c>
      <c r="F75" s="6" t="s">
        <v>59</v>
      </c>
    </row>
    <row r="76" spans="1:7">
      <c r="A76" s="40" t="s">
        <v>78</v>
      </c>
      <c r="B76" s="6" t="s">
        <v>61</v>
      </c>
      <c r="C76" s="6" t="s">
        <v>79</v>
      </c>
      <c r="D76" s="6" t="s">
        <v>80</v>
      </c>
      <c r="E76" s="6" t="s">
        <v>73</v>
      </c>
      <c r="F76" s="6" t="s">
        <v>64</v>
      </c>
    </row>
    <row r="77" spans="1:7">
      <c r="A77" s="40" t="s">
        <v>81</v>
      </c>
      <c r="B77" s="6" t="s">
        <v>61</v>
      </c>
      <c r="C77" s="6" t="s">
        <v>82</v>
      </c>
      <c r="D77" s="6" t="s">
        <v>83</v>
      </c>
      <c r="E77" s="6" t="s">
        <v>73</v>
      </c>
      <c r="F77" s="6" t="s">
        <v>68</v>
      </c>
    </row>
    <row r="78" spans="1:7">
      <c r="A78" s="40"/>
      <c r="B78" s="6"/>
      <c r="C78" s="6"/>
      <c r="D78" s="6"/>
      <c r="E78" s="6"/>
      <c r="F78" s="6"/>
    </row>
    <row r="79" spans="1:7">
      <c r="A79" s="40"/>
      <c r="B79" s="6"/>
      <c r="C79" s="6"/>
      <c r="D79" s="6"/>
      <c r="E79" s="6"/>
      <c r="F79" s="6"/>
    </row>
    <row r="80" spans="1:7">
      <c r="A80" s="40"/>
      <c r="B80" s="6"/>
      <c r="C80" s="6"/>
      <c r="D80" s="6"/>
      <c r="E80" s="6"/>
      <c r="F80" s="6"/>
    </row>
    <row r="81" spans="1:6">
      <c r="A81" s="40"/>
      <c r="B81" s="6"/>
      <c r="C81" s="6"/>
      <c r="D81" s="6"/>
      <c r="E81" s="6"/>
      <c r="F81" s="6"/>
    </row>
    <row r="82" spans="1:6">
      <c r="A82" s="40"/>
      <c r="B82" s="6"/>
      <c r="C82" s="6"/>
      <c r="D82" s="6"/>
      <c r="E82" s="6"/>
      <c r="F82" s="6"/>
    </row>
  </sheetData>
  <mergeCells count="8">
    <mergeCell ref="A72:G72"/>
    <mergeCell ref="A5:G5"/>
    <mergeCell ref="A36:G36"/>
    <mergeCell ref="A58:G58"/>
    <mergeCell ref="A1:G1"/>
    <mergeCell ref="A17:G17"/>
    <mergeCell ref="A48:G48"/>
    <mergeCell ref="A26:G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F37"/>
  </sheetPr>
  <dimension ref="A1:N9"/>
  <sheetViews>
    <sheetView workbookViewId="0">
      <pane ySplit="4" topLeftCell="A5" activePane="bottomLeft" state="frozen"/>
      <selection pane="bottomLeft" activeCell="I5" sqref="I5"/>
    </sheetView>
  </sheetViews>
  <sheetFormatPr defaultRowHeight="15"/>
  <cols>
    <col min="1" max="1" width="7" customWidth="1"/>
    <col min="2" max="2" width="3.7109375" bestFit="1" customWidth="1"/>
    <col min="3" max="3" width="5.7109375" bestFit="1" customWidth="1"/>
    <col min="4" max="4" width="12" customWidth="1"/>
    <col min="5" max="6" width="3" bestFit="1" customWidth="1"/>
    <col min="7" max="7" width="4" bestFit="1" customWidth="1"/>
    <col min="8" max="8" width="14" customWidth="1"/>
    <col min="9" max="9" width="6.28515625" bestFit="1" customWidth="1"/>
    <col min="10" max="10" width="6.140625" bestFit="1" customWidth="1"/>
    <col min="11" max="11" width="6.28515625" bestFit="1" customWidth="1"/>
    <col min="12" max="12" width="6.140625" bestFit="1" customWidth="1"/>
    <col min="13" max="13" width="5.140625" bestFit="1" customWidth="1"/>
    <col min="14" max="14" width="7.28515625" bestFit="1" customWidth="1"/>
  </cols>
  <sheetData>
    <row r="1" spans="1:14" ht="38.25" customHeight="1">
      <c r="A1" s="32" t="s">
        <v>84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>
      <c r="A2" s="37" t="s">
        <v>85</v>
      </c>
    </row>
    <row r="4" spans="1:14" ht="16.5">
      <c r="A4" s="2" t="s">
        <v>86</v>
      </c>
      <c r="B4" s="2" t="s">
        <v>87</v>
      </c>
      <c r="C4" s="2" t="s">
        <v>88</v>
      </c>
      <c r="D4" s="2" t="s">
        <v>89</v>
      </c>
      <c r="E4" s="2" t="s">
        <v>90</v>
      </c>
      <c r="F4" s="2" t="s">
        <v>91</v>
      </c>
      <c r="G4" s="2" t="s">
        <v>92</v>
      </c>
      <c r="H4" s="2" t="s">
        <v>93</v>
      </c>
      <c r="I4" s="2" t="s">
        <v>94</v>
      </c>
      <c r="J4" s="2" t="s">
        <v>95</v>
      </c>
      <c r="K4" s="2" t="s">
        <v>96</v>
      </c>
      <c r="L4" s="2" t="s">
        <v>97</v>
      </c>
      <c r="M4" s="2" t="s">
        <v>98</v>
      </c>
      <c r="N4" s="2" t="s">
        <v>99</v>
      </c>
    </row>
    <row r="5" spans="1:14" ht="51">
      <c r="A5" s="6">
        <v>1</v>
      </c>
      <c r="B5" s="7" t="s">
        <v>100</v>
      </c>
      <c r="C5" s="6" t="s">
        <v>101</v>
      </c>
      <c r="D5" s="6" t="s">
        <v>102</v>
      </c>
      <c r="E5" s="6">
        <v>3</v>
      </c>
      <c r="F5" s="6">
        <v>4</v>
      </c>
      <c r="G5" s="6">
        <v>2</v>
      </c>
      <c r="H5" s="6" t="s">
        <v>103</v>
      </c>
      <c r="I5" s="5">
        <v>340</v>
      </c>
      <c r="J5" s="5">
        <v>745</v>
      </c>
      <c r="K5" s="5">
        <v>825</v>
      </c>
      <c r="L5" s="5">
        <v>1125</v>
      </c>
      <c r="M5" s="8">
        <f>J5+L5-I5-K5</f>
        <v>705</v>
      </c>
      <c r="N5" s="9">
        <f>IF(J5+L5&gt;0,(J5+L5-I5-K5)/(J5+L5),0)</f>
        <v>0.3770053475935829</v>
      </c>
    </row>
    <row r="6" spans="1:14" ht="51">
      <c r="A6" s="6">
        <v>2</v>
      </c>
      <c r="B6" s="7" t="s">
        <v>104</v>
      </c>
      <c r="C6" s="6" t="s">
        <v>101</v>
      </c>
      <c r="D6" s="6" t="s">
        <v>105</v>
      </c>
      <c r="E6" s="6">
        <v>3</v>
      </c>
      <c r="F6" s="6">
        <v>4</v>
      </c>
      <c r="G6" s="6">
        <v>2</v>
      </c>
      <c r="H6" s="6" t="s">
        <v>106</v>
      </c>
      <c r="I6" s="5">
        <v>319</v>
      </c>
      <c r="J6" s="5">
        <v>609</v>
      </c>
      <c r="K6" s="5">
        <v>825</v>
      </c>
      <c r="L6" s="5">
        <v>1125</v>
      </c>
      <c r="M6" s="8">
        <f>J6+L6-I6-K6</f>
        <v>590</v>
      </c>
      <c r="N6" s="9">
        <f>IF(J6+L6&gt;0,(J6+L6-I6-K6)/(J6+L6),0)</f>
        <v>0.3402537485582468</v>
      </c>
    </row>
    <row r="7" spans="1:14" ht="34.5">
      <c r="A7" s="6">
        <v>3</v>
      </c>
      <c r="B7" s="7" t="s">
        <v>107</v>
      </c>
      <c r="C7" s="6" t="s">
        <v>101</v>
      </c>
      <c r="D7" s="6" t="s">
        <v>108</v>
      </c>
      <c r="E7" s="6">
        <v>3</v>
      </c>
      <c r="F7" s="6">
        <v>4</v>
      </c>
      <c r="G7" s="6">
        <v>2</v>
      </c>
      <c r="H7" s="6" t="s">
        <v>109</v>
      </c>
      <c r="I7" s="5">
        <v>239</v>
      </c>
      <c r="J7" s="5">
        <v>354</v>
      </c>
      <c r="K7" s="5">
        <v>825</v>
      </c>
      <c r="L7" s="5">
        <v>1125</v>
      </c>
      <c r="M7" s="8">
        <f>J7+L7-I7-K7</f>
        <v>415</v>
      </c>
      <c r="N7" s="9">
        <f>IF(J7+L7&gt;0,(J7+L7-I7-K7)/(J7+L7),0)</f>
        <v>0.2805949966193374</v>
      </c>
    </row>
    <row r="8" spans="1:1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1:14" ht="51">
      <c r="A9" s="6">
        <v>4</v>
      </c>
      <c r="B9" s="7" t="s">
        <v>110</v>
      </c>
      <c r="C9" s="6" t="s">
        <v>111</v>
      </c>
      <c r="D9" s="6" t="s">
        <v>112</v>
      </c>
      <c r="E9" s="6">
        <v>5</v>
      </c>
      <c r="F9" s="6">
        <v>7</v>
      </c>
      <c r="G9" s="6">
        <v>3</v>
      </c>
      <c r="H9" s="6" t="s">
        <v>113</v>
      </c>
      <c r="I9" s="5">
        <v>449</v>
      </c>
      <c r="J9" s="5">
        <v>854</v>
      </c>
      <c r="K9" s="5">
        <v>1375</v>
      </c>
      <c r="L9" s="5">
        <v>1875</v>
      </c>
      <c r="M9" s="8">
        <f>J9+L9-I9-K9</f>
        <v>905</v>
      </c>
      <c r="N9" s="9">
        <f>IF(J9+L9&gt;0,(J9+L9-I9-K9)/(J9+L9),0)</f>
        <v>0.33162330524001465</v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32"/>
  </sheetPr>
  <dimension ref="A1:L76"/>
  <sheetViews>
    <sheetView tabSelected="1" workbookViewId="0">
      <pane ySplit="4" topLeftCell="A19" activePane="bottomLeft" state="frozen"/>
      <selection pane="bottomLeft" activeCell="B31" sqref="B31"/>
    </sheetView>
  </sheetViews>
  <sheetFormatPr defaultRowHeight="15"/>
  <cols>
    <col min="1" max="1" width="10" customWidth="1"/>
    <col min="2" max="2" width="12" customWidth="1"/>
    <col min="3" max="3" width="7.7109375" bestFit="1" customWidth="1"/>
    <col min="4" max="4" width="9.28515625" bestFit="1" customWidth="1"/>
    <col min="5" max="6" width="12" customWidth="1"/>
    <col min="7" max="7" width="9.7109375" bestFit="1" customWidth="1"/>
    <col min="8" max="8" width="9.140625" bestFit="1" customWidth="1"/>
    <col min="9" max="9" width="12" customWidth="1"/>
    <col min="10" max="10" width="14" customWidth="1"/>
    <col min="11" max="11" width="11.42578125" bestFit="1" customWidth="1"/>
    <col min="12" max="12" width="34.7109375" customWidth="1"/>
  </cols>
  <sheetData>
    <row r="1" spans="1:12" ht="25.5" customHeight="1">
      <c r="A1" s="32" t="s">
        <v>114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1:12" s="38" customFormat="1">
      <c r="A2" s="37" t="s">
        <v>115</v>
      </c>
    </row>
    <row r="4" spans="1:12">
      <c r="A4" s="31" t="s">
        <v>116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30.75">
      <c r="A5" s="11" t="s">
        <v>117</v>
      </c>
      <c r="B5" s="34"/>
      <c r="C5" s="42"/>
      <c r="D5" s="42"/>
      <c r="E5" s="42"/>
      <c r="F5" s="12" t="s">
        <v>118</v>
      </c>
      <c r="G5" s="13">
        <v>4</v>
      </c>
      <c r="H5" s="14" t="s">
        <v>119</v>
      </c>
    </row>
    <row r="7" spans="1:12">
      <c r="A7" s="31" t="s">
        <v>120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</row>
    <row r="8" spans="1:12" ht="32.25">
      <c r="A8" s="11" t="s">
        <v>121</v>
      </c>
      <c r="B8" s="7" t="s">
        <v>122</v>
      </c>
      <c r="C8" s="39">
        <v>46167</v>
      </c>
      <c r="D8" s="15" t="s">
        <v>46</v>
      </c>
      <c r="E8" s="3" t="s">
        <v>51</v>
      </c>
      <c r="F8" s="16" t="s">
        <v>123</v>
      </c>
      <c r="G8" s="17" t="str">
        <f>IF(E8="","",VLOOKUP(E8,'Master Data'!$A$60:$D$69,3,FALSE))</f>
        <v>19:40</v>
      </c>
      <c r="H8" s="16" t="s">
        <v>124</v>
      </c>
      <c r="I8" s="17" t="str">
        <f>IF(E8="","",VLOOKUP(E8,'Master Data'!$A$60:$D$69,4,FALSE))</f>
        <v>14:30</v>
      </c>
      <c r="J8" s="18" t="s">
        <v>125</v>
      </c>
    </row>
    <row r="9" spans="1:12" ht="32.25">
      <c r="A9" s="11" t="s">
        <v>126</v>
      </c>
      <c r="B9" s="7" t="s">
        <v>122</v>
      </c>
      <c r="C9" s="39">
        <v>46172</v>
      </c>
      <c r="D9" s="15" t="s">
        <v>46</v>
      </c>
      <c r="E9" s="3" t="s">
        <v>75</v>
      </c>
      <c r="F9" s="16" t="s">
        <v>127</v>
      </c>
      <c r="G9" s="17" t="str">
        <f>IF(E9="","",VLOOKUP(E9,'Master Data'!$A$74:$D$83,3,FALSE))</f>
        <v>13:30</v>
      </c>
      <c r="H9" s="16" t="s">
        <v>128</v>
      </c>
      <c r="I9" s="17" t="str">
        <f>IF(E9="","",VLOOKUP(E9,'Master Data'!$A$74:$D$83,4,FALSE))</f>
        <v>18:40+1</v>
      </c>
      <c r="J9" s="18" t="s">
        <v>129</v>
      </c>
    </row>
    <row r="10" spans="1:12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ht="32.25">
      <c r="A11" s="11" t="s">
        <v>130</v>
      </c>
      <c r="B11" s="15" t="s">
        <v>131</v>
      </c>
      <c r="C11" s="20">
        <f>IF(AND(C8&lt;&gt;"",C9&lt;&gt;""),C9-C8,"")</f>
        <v>5</v>
      </c>
      <c r="D11" s="14" t="s">
        <v>132</v>
      </c>
      <c r="E11" s="15" t="s">
        <v>133</v>
      </c>
      <c r="F11" s="20">
        <f>IF(C11&lt;&gt;"",C11+1,"")</f>
        <v>6</v>
      </c>
      <c r="G11" s="14" t="s">
        <v>134</v>
      </c>
      <c r="H11" s="15" t="s">
        <v>135</v>
      </c>
      <c r="I11" s="17" t="str">
        <f>IF(C11&lt;&gt;"",C11&amp;"N"&amp;F11&amp;"D","Select flights ↑")</f>
        <v>5N6D</v>
      </c>
    </row>
    <row r="13" spans="1:12">
      <c r="A13" s="31" t="s">
        <v>136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</row>
    <row r="14" spans="1:12" ht="32.25">
      <c r="A14" s="2" t="s">
        <v>137</v>
      </c>
      <c r="B14" s="2" t="s">
        <v>138</v>
      </c>
      <c r="C14" s="2" t="s">
        <v>139</v>
      </c>
      <c r="D14" s="2" t="s">
        <v>140</v>
      </c>
      <c r="E14" s="2" t="s">
        <v>141</v>
      </c>
      <c r="F14" s="2" t="s">
        <v>142</v>
      </c>
      <c r="G14" s="2" t="s">
        <v>143</v>
      </c>
      <c r="H14" s="2" t="s">
        <v>144</v>
      </c>
      <c r="I14" s="2" t="s">
        <v>145</v>
      </c>
      <c r="J14" s="2" t="s">
        <v>146</v>
      </c>
      <c r="K14" s="2"/>
      <c r="L14" s="2" t="s">
        <v>9</v>
      </c>
    </row>
    <row r="15" spans="1:12" ht="30.75">
      <c r="A15" s="6">
        <v>1</v>
      </c>
      <c r="B15" s="3" t="s">
        <v>10</v>
      </c>
      <c r="C15" s="4">
        <v>2</v>
      </c>
      <c r="D15" s="5">
        <f>IF(B15="","",VLOOKUP(B15,'Master Data'!$A$7:$E$15,2,FALSE))</f>
        <v>210</v>
      </c>
      <c r="E15" s="5">
        <f>IF(B15="","",VLOOKUP(B15,'Master Data'!$A$7:$E$15,3,FALSE))</f>
        <v>210</v>
      </c>
      <c r="F15" s="5">
        <f>IF(E15&lt;&gt;"",E15-D15,"")</f>
        <v>0</v>
      </c>
      <c r="G15" s="5">
        <f>IF(B15="","",C15*D15)</f>
        <v>420</v>
      </c>
      <c r="H15" s="5">
        <f>IF(B15="","",C15*E15)</f>
        <v>420</v>
      </c>
      <c r="I15" s="5">
        <f>IF(H15&lt;&gt;"",H15-G15,"")</f>
        <v>0</v>
      </c>
      <c r="J15" s="5">
        <f>IF(B15="","",IF(C15&gt;1,(C15-1)*VLOOKUP(B15,'Master Data'!$A$7:$E$15,5,FALSE),0))</f>
        <v>111</v>
      </c>
      <c r="L15" s="6"/>
    </row>
    <row r="16" spans="1:12" ht="30.75">
      <c r="A16" s="6">
        <v>2</v>
      </c>
      <c r="B16" s="3" t="s">
        <v>12</v>
      </c>
      <c r="C16" s="4">
        <v>2</v>
      </c>
      <c r="D16" s="5">
        <f>IF(B16="","",VLOOKUP(B16,'Master Data'!$A$7:$E$15,2,FALSE))</f>
        <v>130</v>
      </c>
      <c r="E16" s="5">
        <f>IF(B16="","",VLOOKUP(B16,'Master Data'!$A$7:$E$15,3,FALSE))</f>
        <v>130</v>
      </c>
      <c r="F16" s="5">
        <f>IF(E16&lt;&gt;"",E16-D16,"")</f>
        <v>0</v>
      </c>
      <c r="G16" s="5">
        <f>IF(B16="","",C16*D16)</f>
        <v>260</v>
      </c>
      <c r="H16" s="5">
        <f>IF(B16="","",C16*E16)</f>
        <v>260</v>
      </c>
      <c r="I16" s="5">
        <f>IF(H16&lt;&gt;"",H16-G16,"")</f>
        <v>0</v>
      </c>
      <c r="J16" s="5">
        <f>IF(B16="","",IF(C16&gt;1,(C16-1)*VLOOKUP(B16,'Master Data'!$A$7:$E$15,5,FALSE),0))</f>
        <v>120</v>
      </c>
      <c r="L16" s="6"/>
    </row>
    <row r="17" spans="1:12" ht="30.75">
      <c r="A17" s="6">
        <v>3</v>
      </c>
      <c r="B17" s="3" t="s">
        <v>14</v>
      </c>
      <c r="C17" s="4">
        <v>1</v>
      </c>
      <c r="D17" s="5">
        <f>IF(B17="","",VLOOKUP(B17,'Master Data'!$A$7:$E$15,2,FALSE))</f>
        <v>109</v>
      </c>
      <c r="E17" s="5">
        <f>IF(B17="","",VLOOKUP(B17,'Master Data'!$A$7:$E$15,3,FALSE))</f>
        <v>109</v>
      </c>
      <c r="F17" s="5">
        <f>IF(E17&lt;&gt;"",E17-D17,"")</f>
        <v>0</v>
      </c>
      <c r="G17" s="5">
        <f>IF(B17="","",C17*D17)</f>
        <v>109</v>
      </c>
      <c r="H17" s="5">
        <f>IF(B17="","",C17*E17)</f>
        <v>109</v>
      </c>
      <c r="I17" s="5">
        <f>IF(H17&lt;&gt;"",H17-G17,"")</f>
        <v>0</v>
      </c>
      <c r="J17" s="5">
        <f>IF(B17="","",IF(C17&gt;1,(C17-1)*VLOOKUP(B17,'Master Data'!$A$7:$E$15,5,FALSE),0))</f>
        <v>0</v>
      </c>
      <c r="L17" s="6"/>
    </row>
    <row r="18" spans="1:12">
      <c r="A18" s="6">
        <v>4</v>
      </c>
      <c r="B18" s="3"/>
      <c r="C18" s="4"/>
      <c r="D18" s="5" t="str">
        <f>IF(B18="","",VLOOKUP(B18,'Master Data'!$A$7:$E$15,2,FALSE))</f>
        <v/>
      </c>
      <c r="E18" s="5" t="str">
        <f>IF(B18="","",VLOOKUP(B18,'Master Data'!$A$7:$E$15,3,FALSE))</f>
        <v/>
      </c>
      <c r="F18" s="5" t="str">
        <f>IF(E18&lt;&gt;"",E18-D18,"")</f>
        <v/>
      </c>
      <c r="G18" s="5" t="str">
        <f>IF(B18="","",C18*D18)</f>
        <v/>
      </c>
      <c r="H18" s="5" t="str">
        <f>IF(B18="","",C18*E18)</f>
        <v/>
      </c>
      <c r="I18" s="5" t="str">
        <f>IF(H18&lt;&gt;"",H18-G18,"")</f>
        <v/>
      </c>
      <c r="J18" s="5" t="str">
        <f>IF(B18="","",IF(C18&gt;1,(C18-1)*VLOOKUP(B18,'Master Data'!$A$7:$E$15,5,FALSE),0))</f>
        <v/>
      </c>
      <c r="L18" s="6"/>
    </row>
    <row r="19" spans="1:12">
      <c r="A19" s="6">
        <v>5</v>
      </c>
      <c r="B19" s="3"/>
      <c r="C19" s="4"/>
      <c r="D19" s="5" t="str">
        <f>IF(B19="","",VLOOKUP(B19,'Master Data'!$A$7:$E$15,2,FALSE))</f>
        <v/>
      </c>
      <c r="E19" s="5" t="str">
        <f>IF(B19="","",VLOOKUP(B19,'Master Data'!$A$7:$E$15,3,FALSE))</f>
        <v/>
      </c>
      <c r="F19" s="5" t="str">
        <f>IF(E19&lt;&gt;"",E19-D19,"")</f>
        <v/>
      </c>
      <c r="G19" s="5" t="str">
        <f>IF(B19="","",C19*D19)</f>
        <v/>
      </c>
      <c r="H19" s="5" t="str">
        <f>IF(B19="","",C19*E19)</f>
        <v/>
      </c>
      <c r="I19" s="5" t="str">
        <f>IF(H19&lt;&gt;"",H19-G19,"")</f>
        <v/>
      </c>
      <c r="J19" s="5" t="str">
        <f>IF(B19="","",IF(C19&gt;1,(C19-1)*VLOOKUP(B19,'Master Data'!$A$7:$E$15,5,FALSE),0))</f>
        <v/>
      </c>
      <c r="L19" s="6"/>
    </row>
    <row r="20" spans="1:12">
      <c r="A20" s="33" t="s">
        <v>147</v>
      </c>
      <c r="B20" s="42"/>
      <c r="C20" s="42"/>
      <c r="D20" s="42"/>
      <c r="E20" s="42"/>
      <c r="F20" s="42"/>
      <c r="G20" s="8">
        <f>SUM(G15:G19)</f>
        <v>789</v>
      </c>
      <c r="H20" s="8">
        <f>SUM(H15:H19)</f>
        <v>789</v>
      </c>
      <c r="I20" s="8">
        <f>SUM(I15:I19)</f>
        <v>0</v>
      </c>
      <c r="J20" s="8">
        <f>SUM(J15:J19)</f>
        <v>231</v>
      </c>
      <c r="L20" s="6"/>
    </row>
    <row r="22" spans="1:12">
      <c r="A22" s="31" t="s">
        <v>148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</row>
    <row r="23" spans="1:12" ht="32.25">
      <c r="A23" s="2" t="s">
        <v>137</v>
      </c>
      <c r="B23" s="2" t="s">
        <v>138</v>
      </c>
      <c r="C23" s="2" t="s">
        <v>139</v>
      </c>
      <c r="D23" s="2" t="s">
        <v>140</v>
      </c>
      <c r="E23" s="2" t="s">
        <v>141</v>
      </c>
      <c r="F23" s="2" t="s">
        <v>142</v>
      </c>
      <c r="G23" s="2" t="s">
        <v>143</v>
      </c>
      <c r="H23" s="2" t="s">
        <v>144</v>
      </c>
      <c r="I23" s="2" t="s">
        <v>145</v>
      </c>
      <c r="J23" s="2" t="s">
        <v>146</v>
      </c>
      <c r="K23" s="2"/>
      <c r="L23" s="2" t="s">
        <v>9</v>
      </c>
    </row>
    <row r="24" spans="1:12">
      <c r="A24" s="6">
        <v>1</v>
      </c>
      <c r="B24" s="3"/>
      <c r="C24" s="4"/>
      <c r="D24" s="5" t="str">
        <f>IF(B24="","",VLOOKUP(B24,'Master Data'!$A$19:$D$25,2,FALSE))</f>
        <v/>
      </c>
      <c r="E24" s="5" t="str">
        <f>IF(B24="","",VLOOKUP(B24,'Master Data'!$A$19:$D$25,3,FALSE))</f>
        <v/>
      </c>
      <c r="F24" s="5" t="str">
        <f>IF(E24&lt;&gt;"",E24-D24,"")</f>
        <v/>
      </c>
      <c r="G24" s="5" t="str">
        <f>IF(B24="","",C24*D24)</f>
        <v/>
      </c>
      <c r="H24" s="5" t="str">
        <f>IF(B24="","",C24*E24)</f>
        <v/>
      </c>
      <c r="I24" s="5" t="str">
        <f>IF(H24&lt;&gt;"",H24-G24,"")</f>
        <v/>
      </c>
      <c r="J24" s="5" t="str">
        <f>IF(B24="","",IF(C24&gt;1,(C24-1)*VLOOKUP(B24,'Master Data'!$A$19:$D$25,5,FALSE),0))</f>
        <v/>
      </c>
      <c r="L24" s="6"/>
    </row>
    <row r="25" spans="1:12">
      <c r="A25" s="6">
        <v>2</v>
      </c>
      <c r="B25" s="3"/>
      <c r="C25" s="4"/>
      <c r="D25" s="5" t="str">
        <f>IF(B25="","",VLOOKUP(B25,'Master Data'!$A$19:$D$25,2,FALSE))</f>
        <v/>
      </c>
      <c r="E25" s="5" t="str">
        <f>IF(B25="","",VLOOKUP(B25,'Master Data'!$A$19:$D$25,3,FALSE))</f>
        <v/>
      </c>
      <c r="F25" s="5" t="str">
        <f>IF(E25&lt;&gt;"",E25-D25,"")</f>
        <v/>
      </c>
      <c r="G25" s="5" t="str">
        <f>IF(B25="","",C25*D25)</f>
        <v/>
      </c>
      <c r="H25" s="5" t="str">
        <f>IF(B25="","",C25*E25)</f>
        <v/>
      </c>
      <c r="I25" s="5" t="str">
        <f>IF(H25&lt;&gt;"",H25-G25,"")</f>
        <v/>
      </c>
      <c r="J25" s="5" t="str">
        <f>IF(B25="","",IF(C25&gt;1,(C25-1)*VLOOKUP(B25,'Master Data'!$A$19:$D$25,5,FALSE),0))</f>
        <v/>
      </c>
      <c r="L25" s="6"/>
    </row>
    <row r="26" spans="1:12">
      <c r="A26" s="6">
        <v>3</v>
      </c>
      <c r="B26" s="3"/>
      <c r="C26" s="4"/>
      <c r="D26" s="5" t="str">
        <f>IF(B26="","",VLOOKUP(B26,'Master Data'!$A$19:$D$25,2,FALSE))</f>
        <v/>
      </c>
      <c r="E26" s="5" t="str">
        <f>IF(B26="","",VLOOKUP(B26,'Master Data'!$A$19:$D$25,3,FALSE))</f>
        <v/>
      </c>
      <c r="F26" s="5" t="str">
        <f>IF(E26&lt;&gt;"",E26-D26,"")</f>
        <v/>
      </c>
      <c r="G26" s="5" t="str">
        <f>IF(B26="","",C26*D26)</f>
        <v/>
      </c>
      <c r="H26" s="5" t="str">
        <f>IF(B26="","",C26*E26)</f>
        <v/>
      </c>
      <c r="I26" s="5" t="str">
        <f>IF(H26&lt;&gt;"",H26-G26,"")</f>
        <v/>
      </c>
      <c r="J26" s="5" t="str">
        <f>IF(B26="","",IF(C26&gt;1,(C26-1)*VLOOKUP(B26,'Master Data'!$A$19:$D$25,5,FALSE),0))</f>
        <v/>
      </c>
      <c r="L26" s="6"/>
    </row>
    <row r="27" spans="1:12">
      <c r="A27" s="33" t="s">
        <v>147</v>
      </c>
      <c r="B27" s="42"/>
      <c r="C27" s="42"/>
      <c r="D27" s="42"/>
      <c r="E27" s="42"/>
      <c r="F27" s="42"/>
      <c r="G27" s="8">
        <f>SUM(G24:G26)</f>
        <v>0</v>
      </c>
      <c r="H27" s="8">
        <f>SUM(H24:H26)</f>
        <v>0</v>
      </c>
      <c r="I27" s="8">
        <f>SUM(I24:I26)</f>
        <v>0</v>
      </c>
      <c r="J27" s="8">
        <f>SUM(J24:J26)</f>
        <v>0</v>
      </c>
      <c r="L27" s="6"/>
    </row>
    <row r="29" spans="1:12">
      <c r="A29" s="31" t="s">
        <v>149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</row>
    <row r="30" spans="1:12" ht="32.25">
      <c r="A30" s="2" t="s">
        <v>137</v>
      </c>
      <c r="B30" s="2" t="s">
        <v>138</v>
      </c>
      <c r="C30" s="2" t="s">
        <v>139</v>
      </c>
      <c r="D30" s="2" t="s">
        <v>140</v>
      </c>
      <c r="E30" s="2" t="s">
        <v>141</v>
      </c>
      <c r="F30" s="2" t="s">
        <v>142</v>
      </c>
      <c r="G30" s="2" t="s">
        <v>143</v>
      </c>
      <c r="H30" s="2" t="s">
        <v>144</v>
      </c>
      <c r="I30" s="2" t="s">
        <v>145</v>
      </c>
      <c r="J30" s="2" t="s">
        <v>146</v>
      </c>
      <c r="K30" s="2"/>
      <c r="L30" s="2" t="s">
        <v>9</v>
      </c>
    </row>
    <row r="31" spans="1:12" ht="47.25">
      <c r="A31" s="6">
        <v>1</v>
      </c>
      <c r="B31" s="3" t="s">
        <v>27</v>
      </c>
      <c r="C31" s="4"/>
      <c r="D31" s="5">
        <f>IF(B31="","",VLOOKUP(B31,'Master Data'!$A$28:$D$34,2,FALSE))</f>
        <v>125</v>
      </c>
      <c r="E31" s="5">
        <f>IF(B31="","",VLOOKUP(B31,'Master Data'!$A$28:$D$34,3,FALSE))</f>
        <v>175</v>
      </c>
      <c r="F31" s="5">
        <f>IF(E31&lt;&gt;"",E31-D31,"")</f>
        <v>50</v>
      </c>
      <c r="G31" s="5">
        <f>IF(B31="","",C31*D31)</f>
        <v>0</v>
      </c>
      <c r="H31" s="5">
        <f>IF(B31="","",C31*E31)</f>
        <v>0</v>
      </c>
      <c r="I31" s="5">
        <f>IF(H31&lt;&gt;"",H31-G31,"")</f>
        <v>0</v>
      </c>
      <c r="J31" s="5">
        <f>IF(B31="","",IF(C31&gt;1,(C31-1)*VLOOKUP(B31,'Master Data'!$A$28:$D$34,5,FALSE),0))</f>
        <v>0</v>
      </c>
      <c r="L31" s="6"/>
    </row>
    <row r="32" spans="1:12">
      <c r="A32" s="6">
        <v>2</v>
      </c>
      <c r="B32" s="3"/>
      <c r="C32" s="4"/>
      <c r="D32" s="5" t="str">
        <f>IF(B32="","",VLOOKUP(B32,'Master Data'!$A$28:$D$34,2,FALSE))</f>
        <v/>
      </c>
      <c r="E32" s="5" t="str">
        <f>IF(B32="","",VLOOKUP(B32,'Master Data'!$A$28:$D$34,3,FALSE))</f>
        <v/>
      </c>
      <c r="F32" s="5" t="str">
        <f>IF(E32&lt;&gt;"",E32-D32,"")</f>
        <v/>
      </c>
      <c r="G32" s="5" t="str">
        <f>IF(B32="","",C32*D32)</f>
        <v/>
      </c>
      <c r="H32" s="5" t="str">
        <f>IF(B32="","",C32*E32)</f>
        <v/>
      </c>
      <c r="I32" s="5" t="str">
        <f>IF(H32&lt;&gt;"",H32-G32,"")</f>
        <v/>
      </c>
      <c r="J32" s="5" t="str">
        <f>IF(B32="","",IF(C32&gt;1,(C32-1)*VLOOKUP(B32,'Master Data'!$A$28:$D$34,5,FALSE),0))</f>
        <v/>
      </c>
      <c r="L32" s="6"/>
    </row>
    <row r="33" spans="1:12">
      <c r="A33" s="6">
        <v>3</v>
      </c>
      <c r="B33" s="3"/>
      <c r="C33" s="4"/>
      <c r="D33" s="5" t="str">
        <f>IF(B33="","",VLOOKUP(B33,'Master Data'!$A$28:$D$34,2,FALSE))</f>
        <v/>
      </c>
      <c r="E33" s="5" t="str">
        <f>IF(B33="","",VLOOKUP(B33,'Master Data'!$A$28:$D$34,3,FALSE))</f>
        <v/>
      </c>
      <c r="F33" s="5" t="str">
        <f>IF(E33&lt;&gt;"",E33-D33,"")</f>
        <v/>
      </c>
      <c r="G33" s="5" t="str">
        <f>IF(B33="","",C33*D33)</f>
        <v/>
      </c>
      <c r="H33" s="5" t="str">
        <f>IF(B33="","",C33*E33)</f>
        <v/>
      </c>
      <c r="I33" s="5" t="str">
        <f>IF(H33&lt;&gt;"",H33-G33,"")</f>
        <v/>
      </c>
      <c r="J33" s="5" t="str">
        <f>IF(B33="","",IF(C33&gt;1,(C33-1)*VLOOKUP(B33,'Master Data'!$A$28:$D$34,5,FALSE),0))</f>
        <v/>
      </c>
      <c r="L33" s="6"/>
    </row>
    <row r="34" spans="1:12">
      <c r="A34" s="33" t="s">
        <v>147</v>
      </c>
      <c r="B34" s="42"/>
      <c r="C34" s="42"/>
      <c r="D34" s="42"/>
      <c r="E34" s="42"/>
      <c r="F34" s="42"/>
      <c r="G34" s="8">
        <f>SUM(G31:G33)</f>
        <v>0</v>
      </c>
      <c r="H34" s="8">
        <f>SUM(H31:H33)</f>
        <v>0</v>
      </c>
      <c r="I34" s="8">
        <f>SUM(I31:I33)</f>
        <v>0</v>
      </c>
      <c r="J34" s="8">
        <f>SUM(J31:J33)</f>
        <v>0</v>
      </c>
      <c r="L34" s="6"/>
    </row>
    <row r="36" spans="1:12">
      <c r="A36" s="31" t="s">
        <v>150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</row>
    <row r="37" spans="1:12" ht="32.25">
      <c r="A37" s="2" t="s">
        <v>137</v>
      </c>
      <c r="B37" s="2" t="s">
        <v>138</v>
      </c>
      <c r="C37" s="2" t="s">
        <v>139</v>
      </c>
      <c r="D37" s="2" t="s">
        <v>140</v>
      </c>
      <c r="E37" s="2" t="s">
        <v>141</v>
      </c>
      <c r="F37" s="2" t="s">
        <v>142</v>
      </c>
      <c r="G37" s="2" t="s">
        <v>143</v>
      </c>
      <c r="H37" s="2" t="s">
        <v>144</v>
      </c>
      <c r="I37" s="2" t="s">
        <v>145</v>
      </c>
      <c r="J37" s="2" t="s">
        <v>146</v>
      </c>
      <c r="K37" s="2"/>
      <c r="L37" s="2" t="s">
        <v>9</v>
      </c>
    </row>
    <row r="38" spans="1:12">
      <c r="A38" s="6">
        <v>1</v>
      </c>
      <c r="B38" s="3"/>
      <c r="C38" s="4"/>
      <c r="D38" s="5" t="str">
        <f>IF(B38="","",VLOOKUP(B38,'Master Data'!$A$38:$D$46,2,FALSE))</f>
        <v/>
      </c>
      <c r="E38" s="5" t="str">
        <f>IF(B38="","",VLOOKUP(B38,'Master Data'!$A$38:$D$46,3,FALSE))</f>
        <v/>
      </c>
      <c r="F38" s="5" t="str">
        <f>IF(E38&lt;&gt;"",E38-D38,"")</f>
        <v/>
      </c>
      <c r="G38" s="5" t="str">
        <f>IF(B38="","",C38*D38)</f>
        <v/>
      </c>
      <c r="H38" s="5" t="str">
        <f>IF(B38="","",C38*E38)</f>
        <v/>
      </c>
      <c r="I38" s="5" t="str">
        <f>IF(H38&lt;&gt;"",H38-G38,"")</f>
        <v/>
      </c>
      <c r="J38" s="5" t="str">
        <f>IF(B38="","",IF(C38&gt;1,(C38-1)*VLOOKUP(B38,'Master Data'!$A$38:$D$46,5,FALSE),0))</f>
        <v/>
      </c>
      <c r="L38" s="6"/>
    </row>
    <row r="39" spans="1:12">
      <c r="A39" s="6">
        <v>2</v>
      </c>
      <c r="B39" s="3"/>
      <c r="C39" s="4"/>
      <c r="D39" s="5" t="str">
        <f>IF(B39="","",VLOOKUP(B39,'Master Data'!$A$38:$D$46,2,FALSE))</f>
        <v/>
      </c>
      <c r="E39" s="5" t="str">
        <f>IF(B39="","",VLOOKUP(B39,'Master Data'!$A$38:$D$46,3,FALSE))</f>
        <v/>
      </c>
      <c r="F39" s="5" t="str">
        <f>IF(E39&lt;&gt;"",E39-D39,"")</f>
        <v/>
      </c>
      <c r="G39" s="5" t="str">
        <f>IF(B39="","",C39*D39)</f>
        <v/>
      </c>
      <c r="H39" s="5" t="str">
        <f>IF(B39="","",C39*E39)</f>
        <v/>
      </c>
      <c r="I39" s="5" t="str">
        <f>IF(H39&lt;&gt;"",H39-G39,"")</f>
        <v/>
      </c>
      <c r="J39" s="5" t="str">
        <f>IF(B39="","",IF(C39&gt;1,(C39-1)*VLOOKUP(B39,'Master Data'!$A$38:$D$46,5,FALSE),0))</f>
        <v/>
      </c>
      <c r="L39" s="6"/>
    </row>
    <row r="40" spans="1:12">
      <c r="A40" s="6">
        <v>3</v>
      </c>
      <c r="B40" s="3"/>
      <c r="C40" s="4"/>
      <c r="D40" s="5" t="str">
        <f>IF(B40="","",VLOOKUP(B40,'Master Data'!$A$38:$D$46,2,FALSE))</f>
        <v/>
      </c>
      <c r="E40" s="5" t="str">
        <f>IF(B40="","",VLOOKUP(B40,'Master Data'!$A$38:$D$46,3,FALSE))</f>
        <v/>
      </c>
      <c r="F40" s="5" t="str">
        <f>IF(E40&lt;&gt;"",E40-D40,"")</f>
        <v/>
      </c>
      <c r="G40" s="5" t="str">
        <f>IF(B40="","",C40*D40)</f>
        <v/>
      </c>
      <c r="H40" s="5" t="str">
        <f>IF(B40="","",C40*E40)</f>
        <v/>
      </c>
      <c r="I40" s="5" t="str">
        <f>IF(H40&lt;&gt;"",H40-G40,"")</f>
        <v/>
      </c>
      <c r="J40" s="5" t="str">
        <f>IF(B40="","",IF(C40&gt;1,(C40-1)*VLOOKUP(B40,'Master Data'!$A$38:$D$46,5,FALSE),0))</f>
        <v/>
      </c>
      <c r="L40" s="6"/>
    </row>
    <row r="41" spans="1:12">
      <c r="A41" s="6">
        <v>4</v>
      </c>
      <c r="B41" s="3"/>
      <c r="C41" s="4"/>
      <c r="D41" s="5" t="str">
        <f>IF(B41="","",VLOOKUP(B41,'Master Data'!$A$38:$D$46,2,FALSE))</f>
        <v/>
      </c>
      <c r="E41" s="5" t="str">
        <f>IF(B41="","",VLOOKUP(B41,'Master Data'!$A$38:$D$46,3,FALSE))</f>
        <v/>
      </c>
      <c r="F41" s="5" t="str">
        <f>IF(E41&lt;&gt;"",E41-D41,"")</f>
        <v/>
      </c>
      <c r="G41" s="5" t="str">
        <f>IF(B41="","",C41*D41)</f>
        <v/>
      </c>
      <c r="H41" s="5" t="str">
        <f>IF(B41="","",C41*E41)</f>
        <v/>
      </c>
      <c r="I41" s="5" t="str">
        <f>IF(H41&lt;&gt;"",H41-G41,"")</f>
        <v/>
      </c>
      <c r="J41" s="5" t="str">
        <f>IF(B41="","",IF(C41&gt;1,(C41-1)*VLOOKUP(B41,'Master Data'!$A$38:$D$46,5,FALSE),0))</f>
        <v/>
      </c>
      <c r="L41" s="6"/>
    </row>
    <row r="42" spans="1:12">
      <c r="A42" s="6">
        <v>5</v>
      </c>
      <c r="B42" s="3"/>
      <c r="C42" s="4"/>
      <c r="D42" s="5" t="str">
        <f>IF(B42="","",VLOOKUP(B42,'Master Data'!$A$38:$D$46,2,FALSE))</f>
        <v/>
      </c>
      <c r="E42" s="5" t="str">
        <f>IF(B42="","",VLOOKUP(B42,'Master Data'!$A$38:$D$46,3,FALSE))</f>
        <v/>
      </c>
      <c r="F42" s="5" t="str">
        <f>IF(E42&lt;&gt;"",E42-D42,"")</f>
        <v/>
      </c>
      <c r="G42" s="5" t="str">
        <f>IF(B42="","",C42*D42)</f>
        <v/>
      </c>
      <c r="H42" s="5" t="str">
        <f>IF(B42="","",C42*E42)</f>
        <v/>
      </c>
      <c r="I42" s="5" t="str">
        <f>IF(H42&lt;&gt;"",H42-G42,"")</f>
        <v/>
      </c>
      <c r="J42" s="5" t="str">
        <f>IF(B42="","",IF(C42&gt;1,(C42-1)*VLOOKUP(B42,'Master Data'!$A$38:$D$46,5,FALSE),0))</f>
        <v/>
      </c>
      <c r="L42" s="6"/>
    </row>
    <row r="43" spans="1:12">
      <c r="A43" s="33" t="s">
        <v>147</v>
      </c>
      <c r="B43" s="42"/>
      <c r="C43" s="42"/>
      <c r="D43" s="42"/>
      <c r="E43" s="42"/>
      <c r="F43" s="42"/>
      <c r="G43" s="8">
        <f>SUM(G38:G42)</f>
        <v>0</v>
      </c>
      <c r="H43" s="8">
        <f>SUM(H38:H42)</f>
        <v>0</v>
      </c>
      <c r="I43" s="8">
        <f>SUM(I38:I42)</f>
        <v>0</v>
      </c>
      <c r="J43" s="8">
        <f>SUM(J38:J42)</f>
        <v>0</v>
      </c>
      <c r="L43" s="6"/>
    </row>
    <row r="45" spans="1:12">
      <c r="A45" s="31" t="s">
        <v>151</v>
      </c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</row>
    <row r="46" spans="1:12" ht="32.25">
      <c r="A46" s="2" t="s">
        <v>137</v>
      </c>
      <c r="B46" s="2" t="s">
        <v>138</v>
      </c>
      <c r="C46" s="2" t="s">
        <v>139</v>
      </c>
      <c r="D46" s="2" t="s">
        <v>140</v>
      </c>
      <c r="E46" s="2" t="s">
        <v>141</v>
      </c>
      <c r="F46" s="2" t="s">
        <v>142</v>
      </c>
      <c r="G46" s="2" t="s">
        <v>143</v>
      </c>
      <c r="H46" s="2" t="s">
        <v>144</v>
      </c>
      <c r="I46" s="2" t="s">
        <v>145</v>
      </c>
      <c r="J46" s="2" t="s">
        <v>146</v>
      </c>
      <c r="K46" s="2"/>
      <c r="L46" s="2" t="s">
        <v>9</v>
      </c>
    </row>
    <row r="47" spans="1:12">
      <c r="A47" s="6">
        <v>1</v>
      </c>
      <c r="B47" s="3"/>
      <c r="C47" s="4"/>
      <c r="D47" s="5" t="str">
        <f>IF(B47="","",VLOOKUP(B47,'Master Data'!$A$50:$D$56,2,FALSE))</f>
        <v/>
      </c>
      <c r="E47" s="5" t="str">
        <f>IF(B47="","",VLOOKUP(B47,'Master Data'!$A$50:$D$56,3,FALSE))</f>
        <v/>
      </c>
      <c r="F47" s="5" t="str">
        <f>IF(E47&lt;&gt;"",E47-D47,"")</f>
        <v/>
      </c>
      <c r="G47" s="5" t="str">
        <f>IF(B47="","",C47*D47)</f>
        <v/>
      </c>
      <c r="H47" s="5" t="str">
        <f>IF(B47="","",C47*E47)</f>
        <v/>
      </c>
      <c r="I47" s="5" t="str">
        <f>IF(H47&lt;&gt;"",H47-G47,"")</f>
        <v/>
      </c>
      <c r="J47" s="5" t="str">
        <f>IF(B47="","",IF(C47&gt;1,(C47-1)*VLOOKUP(B47,'Master Data'!$A$50:$D$56,5,FALSE),0))</f>
        <v/>
      </c>
      <c r="L47" s="6"/>
    </row>
    <row r="48" spans="1:12">
      <c r="A48" s="6">
        <v>2</v>
      </c>
      <c r="B48" s="3"/>
      <c r="C48" s="4"/>
      <c r="D48" s="5" t="str">
        <f>IF(B48="","",VLOOKUP(B48,'Master Data'!$A$50:$D$56,2,FALSE))</f>
        <v/>
      </c>
      <c r="E48" s="5" t="str">
        <f>IF(B48="","",VLOOKUP(B48,'Master Data'!$A$50:$D$56,3,FALSE))</f>
        <v/>
      </c>
      <c r="F48" s="5" t="str">
        <f>IF(E48&lt;&gt;"",E48-D48,"")</f>
        <v/>
      </c>
      <c r="G48" s="5" t="str">
        <f>IF(B48="","",C48*D48)</f>
        <v/>
      </c>
      <c r="H48" s="5" t="str">
        <f>IF(B48="","",C48*E48)</f>
        <v/>
      </c>
      <c r="I48" s="5" t="str">
        <f>IF(H48&lt;&gt;"",H48-G48,"")</f>
        <v/>
      </c>
      <c r="J48" s="5" t="str">
        <f>IF(B48="","",IF(C48&gt;1,(C48-1)*VLOOKUP(B48,'Master Data'!$A$50:$D$56,5,FALSE),0))</f>
        <v/>
      </c>
      <c r="L48" s="6"/>
    </row>
    <row r="49" spans="1:12">
      <c r="A49" s="6">
        <v>3</v>
      </c>
      <c r="B49" s="3"/>
      <c r="C49" s="4"/>
      <c r="D49" s="5" t="str">
        <f>IF(B49="","",VLOOKUP(B49,'Master Data'!$A$50:$D$56,2,FALSE))</f>
        <v/>
      </c>
      <c r="E49" s="5" t="str">
        <f>IF(B49="","",VLOOKUP(B49,'Master Data'!$A$50:$D$56,3,FALSE))</f>
        <v/>
      </c>
      <c r="F49" s="5" t="str">
        <f>IF(E49&lt;&gt;"",E49-D49,"")</f>
        <v/>
      </c>
      <c r="G49" s="5" t="str">
        <f>IF(B49="","",C49*D49)</f>
        <v/>
      </c>
      <c r="H49" s="5" t="str">
        <f>IF(B49="","",C49*E49)</f>
        <v/>
      </c>
      <c r="I49" s="5" t="str">
        <f>IF(H49&lt;&gt;"",H49-G49,"")</f>
        <v/>
      </c>
      <c r="J49" s="5" t="str">
        <f>IF(B49="","",IF(C49&gt;1,(C49-1)*VLOOKUP(B49,'Master Data'!$A$50:$D$56,5,FALSE),0))</f>
        <v/>
      </c>
      <c r="L49" s="6"/>
    </row>
    <row r="50" spans="1:12">
      <c r="A50" s="33" t="s">
        <v>147</v>
      </c>
      <c r="B50" s="42"/>
      <c r="C50" s="42"/>
      <c r="D50" s="42"/>
      <c r="E50" s="42"/>
      <c r="F50" s="42"/>
      <c r="G50" s="8">
        <f>SUM(G47:G49)</f>
        <v>0</v>
      </c>
      <c r="H50" s="8">
        <f>SUM(H47:H49)</f>
        <v>0</v>
      </c>
      <c r="I50" s="8">
        <f>SUM(I47:I49)</f>
        <v>0</v>
      </c>
      <c r="J50" s="8">
        <f>SUM(J47:J49)</f>
        <v>0</v>
      </c>
      <c r="L50" s="6"/>
    </row>
    <row r="52" spans="1:12">
      <c r="A52" s="31" t="s">
        <v>152</v>
      </c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</row>
    <row r="53" spans="1:12">
      <c r="A53" s="2" t="s">
        <v>153</v>
      </c>
      <c r="B53" s="2"/>
      <c r="C53" s="2"/>
      <c r="D53" s="2"/>
      <c r="E53" s="2"/>
      <c r="F53" s="2"/>
      <c r="G53" s="2" t="s">
        <v>143</v>
      </c>
      <c r="H53" s="2" t="s">
        <v>144</v>
      </c>
      <c r="I53" s="2" t="s">
        <v>145</v>
      </c>
      <c r="J53" s="2" t="s">
        <v>154</v>
      </c>
      <c r="K53" s="2" t="s">
        <v>155</v>
      </c>
      <c r="L53" s="2"/>
    </row>
    <row r="54" spans="1:12">
      <c r="A54" s="33" t="s">
        <v>156</v>
      </c>
      <c r="B54" s="42"/>
      <c r="C54" s="42"/>
      <c r="D54" s="42"/>
      <c r="E54" s="42"/>
      <c r="F54" s="42"/>
      <c r="G54" s="5">
        <f>G20</f>
        <v>789</v>
      </c>
      <c r="H54" s="5">
        <f>H20</f>
        <v>789</v>
      </c>
      <c r="I54" s="5">
        <f>I20</f>
        <v>0</v>
      </c>
      <c r="J54" s="5">
        <f>J20</f>
        <v>231</v>
      </c>
      <c r="K54" s="22">
        <f>IF(H54&gt;0,I54/H54,0)</f>
        <v>0</v>
      </c>
    </row>
    <row r="55" spans="1:12">
      <c r="A55" s="33" t="s">
        <v>157</v>
      </c>
      <c r="B55" s="42"/>
      <c r="C55" s="42"/>
      <c r="D55" s="42"/>
      <c r="E55" s="42"/>
      <c r="F55" s="42"/>
      <c r="G55" s="5">
        <f>G27</f>
        <v>0</v>
      </c>
      <c r="H55" s="5">
        <f>H27</f>
        <v>0</v>
      </c>
      <c r="I55" s="5">
        <f>I27</f>
        <v>0</v>
      </c>
      <c r="J55" s="5">
        <f>J27</f>
        <v>0</v>
      </c>
      <c r="K55" s="22">
        <f>IF(H55&gt;0,I55/H55,0)</f>
        <v>0</v>
      </c>
    </row>
    <row r="56" spans="1:12">
      <c r="A56" s="33" t="s">
        <v>158</v>
      </c>
      <c r="B56" s="42"/>
      <c r="C56" s="42"/>
      <c r="D56" s="42"/>
      <c r="E56" s="42"/>
      <c r="F56" s="42"/>
      <c r="G56" s="5">
        <f>G34</f>
        <v>0</v>
      </c>
      <c r="H56" s="5">
        <f>H34</f>
        <v>0</v>
      </c>
      <c r="I56" s="5">
        <f>I34</f>
        <v>0</v>
      </c>
      <c r="J56" s="5">
        <f>J34</f>
        <v>0</v>
      </c>
      <c r="K56" s="22">
        <f>IF(H56&gt;0,I56/H56,0)</f>
        <v>0</v>
      </c>
    </row>
    <row r="57" spans="1:12">
      <c r="A57" s="33" t="s">
        <v>159</v>
      </c>
      <c r="B57" s="42"/>
      <c r="C57" s="42"/>
      <c r="D57" s="42"/>
      <c r="E57" s="42"/>
      <c r="F57" s="42"/>
      <c r="G57" s="5">
        <f>G43</f>
        <v>0</v>
      </c>
      <c r="H57" s="5">
        <f>H43</f>
        <v>0</v>
      </c>
      <c r="I57" s="5">
        <f>I43</f>
        <v>0</v>
      </c>
      <c r="J57" s="5">
        <f>J43</f>
        <v>0</v>
      </c>
      <c r="K57" s="22">
        <f>IF(H57&gt;0,I57/H57,0)</f>
        <v>0</v>
      </c>
    </row>
    <row r="58" spans="1:12">
      <c r="A58" s="33" t="s">
        <v>160</v>
      </c>
      <c r="B58" s="42"/>
      <c r="C58" s="42"/>
      <c r="D58" s="42"/>
      <c r="E58" s="42"/>
      <c r="F58" s="42"/>
      <c r="G58" s="5">
        <f>G50</f>
        <v>0</v>
      </c>
      <c r="H58" s="5">
        <f>H50</f>
        <v>0</v>
      </c>
      <c r="I58" s="5">
        <f>I50</f>
        <v>0</v>
      </c>
      <c r="J58" s="5">
        <f>J50</f>
        <v>0</v>
      </c>
      <c r="K58" s="22">
        <f>IF(H58&gt;0,I58/H58,0)</f>
        <v>0</v>
      </c>
    </row>
    <row r="59" spans="1:12">
      <c r="A59" s="35" t="s">
        <v>161</v>
      </c>
      <c r="B59" s="42"/>
      <c r="C59" s="42"/>
      <c r="D59" s="42"/>
      <c r="E59" s="42"/>
      <c r="F59" s="42"/>
      <c r="G59" s="23">
        <f>SUM(G54:G58)</f>
        <v>789</v>
      </c>
      <c r="H59" s="23">
        <f>SUM(H54:H58)</f>
        <v>789</v>
      </c>
      <c r="I59" s="23">
        <f>SUM(I54:I58)</f>
        <v>0</v>
      </c>
      <c r="J59" s="23">
        <f>SUM(J54:J58)</f>
        <v>231</v>
      </c>
      <c r="K59" s="24">
        <f>IF(H59&gt;0,I59/H59,0)</f>
        <v>0</v>
      </c>
    </row>
    <row r="61" spans="1:12">
      <c r="A61" s="31" t="s">
        <v>162</v>
      </c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</row>
    <row r="62" spans="1:12" ht="16.5">
      <c r="A62" s="2" t="s">
        <v>153</v>
      </c>
      <c r="B62" s="2" t="s">
        <v>163</v>
      </c>
      <c r="C62" s="2" t="s">
        <v>164</v>
      </c>
      <c r="D62" s="2" t="s">
        <v>165</v>
      </c>
      <c r="E62" s="2" t="s">
        <v>166</v>
      </c>
      <c r="F62" s="2" t="s">
        <v>167</v>
      </c>
      <c r="G62" s="2" t="s">
        <v>168</v>
      </c>
      <c r="H62" s="2" t="s">
        <v>169</v>
      </c>
      <c r="I62" s="2" t="s">
        <v>170</v>
      </c>
      <c r="J62" s="2" t="s">
        <v>171</v>
      </c>
      <c r="K62" s="2" t="s">
        <v>172</v>
      </c>
      <c r="L62" s="2" t="s">
        <v>173</v>
      </c>
    </row>
    <row r="63" spans="1:12">
      <c r="A63" s="21" t="s">
        <v>156</v>
      </c>
      <c r="B63" s="4">
        <f>IF(1&lt;=G5,IF(OR(G5=0,G5=""),0,G54/G5),"")</f>
        <v>197.25</v>
      </c>
      <c r="C63" s="4">
        <f>IF(2&lt;=G5,IF(OR(G5=0,G5=""),0,G54/G5),"")</f>
        <v>197.25</v>
      </c>
      <c r="D63" s="4">
        <f>IF(3&lt;=G5,IF(OR(G5=0,G5=""),0,G54/G5),"")</f>
        <v>197.25</v>
      </c>
      <c r="E63" s="4">
        <f>IF(4&lt;=G5,IF(OR(G5=0,G5=""),0,G54/G5),"")</f>
        <v>197.25</v>
      </c>
      <c r="F63" s="4" t="str">
        <f>IF(5&lt;=G5,IF(OR(G5=0,G5=""),0,G54/G5),"")</f>
        <v/>
      </c>
      <c r="G63" s="4" t="str">
        <f>IF(6&lt;=G5,IF(OR(G5=0,G5=""),0,G54/G5),"")</f>
        <v/>
      </c>
      <c r="H63" s="4" t="str">
        <f>IF(7&lt;=G5,IF(OR(G5=0,G5=""),0,G54/G5),"")</f>
        <v/>
      </c>
      <c r="I63" s="4" t="str">
        <f>IF(8&lt;=G5,IF(OR(G5=0,G5=""),0,G54/G5),"")</f>
        <v/>
      </c>
      <c r="J63" s="5">
        <f>SUM(B63:I63)</f>
        <v>789</v>
      </c>
      <c r="K63" s="5">
        <f>G54</f>
        <v>789</v>
      </c>
      <c r="L63" s="5">
        <f>J63-K63</f>
        <v>0</v>
      </c>
    </row>
    <row r="64" spans="1:12">
      <c r="A64" s="21" t="s">
        <v>157</v>
      </c>
      <c r="B64" s="4">
        <f>IF(1&lt;=G5,IF(OR(G5=0,G5=""),0,G55/G5),"")</f>
        <v>0</v>
      </c>
      <c r="C64" s="4">
        <f>IF(2&lt;=G5,IF(OR(G5=0,G5=""),0,G55/G5),"")</f>
        <v>0</v>
      </c>
      <c r="D64" s="4">
        <f>IF(3&lt;=G5,IF(OR(G5=0,G5=""),0,G55/G5),"")</f>
        <v>0</v>
      </c>
      <c r="E64" s="4">
        <f>IF(4&lt;=G5,IF(OR(G5=0,G5=""),0,G55/G5),"")</f>
        <v>0</v>
      </c>
      <c r="F64" s="4" t="str">
        <f>IF(5&lt;=G5,IF(OR(G5=0,G5=""),0,G55/G5),"")</f>
        <v/>
      </c>
      <c r="G64" s="4" t="str">
        <f>IF(6&lt;=G5,IF(OR(G5=0,G5=""),0,G55/G5),"")</f>
        <v/>
      </c>
      <c r="H64" s="4" t="str">
        <f>IF(7&lt;=G5,IF(OR(G5=0,G5=""),0,G55/G5),"")</f>
        <v/>
      </c>
      <c r="I64" s="4" t="str">
        <f>IF(8&lt;=G5,IF(OR(G5=0,G5=""),0,G55/G5),"")</f>
        <v/>
      </c>
      <c r="J64" s="5">
        <f>SUM(B64:I64)</f>
        <v>0</v>
      </c>
      <c r="K64" s="5">
        <f>G55</f>
        <v>0</v>
      </c>
      <c r="L64" s="5">
        <f>J64-K64</f>
        <v>0</v>
      </c>
    </row>
    <row r="65" spans="1:12" ht="30.75">
      <c r="A65" s="21" t="s">
        <v>158</v>
      </c>
      <c r="B65" s="4">
        <f>IF(1&lt;=G5,IF(OR(G5=0,G5=""),0,G56/G5),"")</f>
        <v>0</v>
      </c>
      <c r="C65" s="4">
        <f>IF(2&lt;=G5,IF(OR(G5=0,G5=""),0,G56/G5),"")</f>
        <v>0</v>
      </c>
      <c r="D65" s="4">
        <f>IF(3&lt;=G5,IF(OR(G5=0,G5=""),0,G56/G5),"")</f>
        <v>0</v>
      </c>
      <c r="E65" s="4">
        <f>IF(4&lt;=G5,IF(OR(G5=0,G5=""),0,G56/G5),"")</f>
        <v>0</v>
      </c>
      <c r="F65" s="4" t="str">
        <f>IF(5&lt;=G5,IF(OR(G5=0,G5=""),0,G56/G5),"")</f>
        <v/>
      </c>
      <c r="G65" s="4" t="str">
        <f>IF(6&lt;=G5,IF(OR(G5=0,G5=""),0,G56/G5),"")</f>
        <v/>
      </c>
      <c r="H65" s="4" t="str">
        <f>IF(7&lt;=G5,IF(OR(G5=0,G5=""),0,G56/G5),"")</f>
        <v/>
      </c>
      <c r="I65" s="4" t="str">
        <f>IF(8&lt;=G5,IF(OR(G5=0,G5=""),0,G56/G5),"")</f>
        <v/>
      </c>
      <c r="J65" s="5">
        <f>SUM(B65:I65)</f>
        <v>0</v>
      </c>
      <c r="K65" s="5">
        <f>G56</f>
        <v>0</v>
      </c>
      <c r="L65" s="5">
        <f>J65-K65</f>
        <v>0</v>
      </c>
    </row>
    <row r="66" spans="1:12">
      <c r="A66" s="21" t="s">
        <v>159</v>
      </c>
      <c r="B66" s="4">
        <f>IF(1&lt;=G5,IF(OR(G5=0,G5=""),0,G57/G5),"")</f>
        <v>0</v>
      </c>
      <c r="C66" s="4">
        <f>IF(2&lt;=G5,IF(OR(G5=0,G5=""),0,G57/G5),"")</f>
        <v>0</v>
      </c>
      <c r="D66" s="4">
        <f>IF(3&lt;=G5,IF(OR(G5=0,G5=""),0,G57/G5),"")</f>
        <v>0</v>
      </c>
      <c r="E66" s="4">
        <f>IF(4&lt;=G5,IF(OR(G5=0,G5=""),0,G57/G5),"")</f>
        <v>0</v>
      </c>
      <c r="F66" s="4" t="str">
        <f>IF(5&lt;=G5,IF(OR(G5=0,G5=""),0,G57/G5),"")</f>
        <v/>
      </c>
      <c r="G66" s="4" t="str">
        <f>IF(6&lt;=G5,IF(OR(G5=0,G5=""),0,G57/G5),"")</f>
        <v/>
      </c>
      <c r="H66" s="4" t="str">
        <f>IF(7&lt;=G5,IF(OR(G5=0,G5=""),0,G57/G5),"")</f>
        <v/>
      </c>
      <c r="I66" s="4" t="str">
        <f>IF(8&lt;=G5,IF(OR(G5=0,G5=""),0,G57/G5),"")</f>
        <v/>
      </c>
      <c r="J66" s="5">
        <f>SUM(B66:I66)</f>
        <v>0</v>
      </c>
      <c r="K66" s="5">
        <f>G57</f>
        <v>0</v>
      </c>
      <c r="L66" s="5">
        <f>J66-K66</f>
        <v>0</v>
      </c>
    </row>
    <row r="67" spans="1:12">
      <c r="A67" s="21" t="s">
        <v>160</v>
      </c>
      <c r="B67" s="4">
        <f>IF(1&lt;=G5,IF(OR(G5=0,G5=""),0,G58/G5),"")</f>
        <v>0</v>
      </c>
      <c r="C67" s="4">
        <f>IF(2&lt;=G5,IF(OR(G5=0,G5=""),0,G58/G5),"")</f>
        <v>0</v>
      </c>
      <c r="D67" s="4">
        <f>IF(3&lt;=G5,IF(OR(G5=0,G5=""),0,G58/G5),"")</f>
        <v>0</v>
      </c>
      <c r="E67" s="4">
        <f>IF(4&lt;=G5,IF(OR(G5=0,G5=""),0,G58/G5),"")</f>
        <v>0</v>
      </c>
      <c r="F67" s="4" t="str">
        <f>IF(5&lt;=G5,IF(OR(G5=0,G5=""),0,G58/G5),"")</f>
        <v/>
      </c>
      <c r="G67" s="4" t="str">
        <f>IF(6&lt;=G5,IF(OR(G5=0,G5=""),0,G58/G5),"")</f>
        <v/>
      </c>
      <c r="H67" s="4" t="str">
        <f>IF(7&lt;=G5,IF(OR(G5=0,G5=""),0,G58/G5),"")</f>
        <v/>
      </c>
      <c r="I67" s="4" t="str">
        <f>IF(8&lt;=G5,IF(OR(G5=0,G5=""),0,G58/G5),"")</f>
        <v/>
      </c>
      <c r="J67" s="5">
        <f>SUM(B67:I67)</f>
        <v>0</v>
      </c>
      <c r="K67" s="5">
        <f>G58</f>
        <v>0</v>
      </c>
      <c r="L67" s="5">
        <f>J67-K67</f>
        <v>0</v>
      </c>
    </row>
    <row r="68" spans="1:12">
      <c r="A68" s="35" t="s">
        <v>174</v>
      </c>
      <c r="B68" s="23">
        <f>SUM(B63:B67)</f>
        <v>197.25</v>
      </c>
      <c r="C68" s="23">
        <f>SUM(C63:C67)</f>
        <v>197.25</v>
      </c>
      <c r="D68" s="23">
        <f>SUM(D63:D67)</f>
        <v>197.25</v>
      </c>
      <c r="E68" s="23">
        <f>SUM(E63:E67)</f>
        <v>197.25</v>
      </c>
      <c r="F68" s="23">
        <f>SUM(F63:F67)</f>
        <v>0</v>
      </c>
      <c r="G68" s="23">
        <f>SUM(G63:G67)</f>
        <v>0</v>
      </c>
      <c r="H68" s="23">
        <f>SUM(H63:H67)</f>
        <v>0</v>
      </c>
      <c r="I68" s="23">
        <f>SUM(I63:I67)</f>
        <v>0</v>
      </c>
      <c r="J68" s="23">
        <f>SUM(J63:J67)</f>
        <v>789</v>
      </c>
      <c r="K68" s="23">
        <f>G59</f>
        <v>789</v>
      </c>
      <c r="L68" s="23">
        <f>J68-K68</f>
        <v>0</v>
      </c>
    </row>
    <row r="69" spans="1:12">
      <c r="A69" s="36" t="s">
        <v>175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</row>
    <row r="70" spans="1:12">
      <c r="A70" s="36" t="s">
        <v>176</v>
      </c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</row>
    <row r="72" spans="1:12">
      <c r="A72" s="31" t="s">
        <v>177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</row>
    <row r="73" spans="1:12" ht="30.75">
      <c r="A73" s="12" t="s">
        <v>178</v>
      </c>
      <c r="B73" s="25">
        <f>G5</f>
        <v>4</v>
      </c>
      <c r="C73" s="14" t="s">
        <v>119</v>
      </c>
      <c r="D73" s="19"/>
      <c r="E73" s="12" t="s">
        <v>135</v>
      </c>
      <c r="F73" s="26" t="str">
        <f>I11</f>
        <v>5N6D</v>
      </c>
    </row>
    <row r="74" spans="1:12" ht="30.75">
      <c r="A74" s="19"/>
      <c r="B74" s="19"/>
      <c r="C74" s="19"/>
      <c r="D74" s="19"/>
      <c r="E74" s="12" t="s">
        <v>179</v>
      </c>
      <c r="F74" s="27">
        <f>IF(G5&gt;0,H59/G5,0)</f>
        <v>197.25</v>
      </c>
    </row>
    <row r="75" spans="1:12" ht="30.75">
      <c r="A75" s="19"/>
      <c r="B75" s="19"/>
      <c r="C75" s="19"/>
      <c r="D75" s="19"/>
      <c r="E75" s="12" t="s">
        <v>180</v>
      </c>
      <c r="F75" s="28">
        <f>IF(G5&gt;0,G59/G5,0)</f>
        <v>197.25</v>
      </c>
    </row>
    <row r="76" spans="1:12" ht="30.75">
      <c r="A76" s="19"/>
      <c r="B76" s="19"/>
      <c r="C76" s="19"/>
      <c r="D76" s="19"/>
      <c r="E76" s="12" t="s">
        <v>181</v>
      </c>
      <c r="F76" s="29">
        <f>IF(G5&gt;0,I59/G5,0)</f>
        <v>0</v>
      </c>
    </row>
  </sheetData>
  <mergeCells count="26">
    <mergeCell ref="A1:L1"/>
    <mergeCell ref="A45:L45"/>
    <mergeCell ref="A36:L36"/>
    <mergeCell ref="A61:L61"/>
    <mergeCell ref="A70:L70"/>
    <mergeCell ref="A69:L69"/>
    <mergeCell ref="A4:L4"/>
    <mergeCell ref="A43:F43"/>
    <mergeCell ref="A72:L72"/>
    <mergeCell ref="A29:L29"/>
    <mergeCell ref="A52:L52"/>
    <mergeCell ref="A13:L13"/>
    <mergeCell ref="A58:F58"/>
    <mergeCell ref="A34:F34"/>
    <mergeCell ref="A59:F59"/>
    <mergeCell ref="A56:F56"/>
    <mergeCell ref="A68"/>
    <mergeCell ref="A55:F55"/>
    <mergeCell ref="A57:F57"/>
    <mergeCell ref="A22:L22"/>
    <mergeCell ref="A54:F54"/>
    <mergeCell ref="A7:L7"/>
    <mergeCell ref="A27:F27"/>
    <mergeCell ref="A50:F50"/>
    <mergeCell ref="B5:E5"/>
    <mergeCell ref="A20:F20"/>
  </mergeCells>
  <dataValidations count="1">
    <dataValidation type="list" sqref="G5" xr:uid="{00000000-0002-0000-0200-000000000000}">
      <formula1>"2,4,6,8"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200-000001000000}">
          <x14:formula1>
            <xm:f>'Master Data'!$A$60:$A$69</xm:f>
          </x14:formula1>
          <xm:sqref>E8</xm:sqref>
        </x14:dataValidation>
        <x14:dataValidation type="list" xr:uid="{00000000-0002-0000-0200-000002000000}">
          <x14:formula1>
            <xm:f>'Master Data'!$A$74:$A$83</xm:f>
          </x14:formula1>
          <xm:sqref>E9</xm:sqref>
        </x14:dataValidation>
        <x14:dataValidation type="list" xr:uid="{00000000-0002-0000-0200-000003000000}">
          <x14:formula1>
            <xm:f>'Master Data'!$A$7:$A$15</xm:f>
          </x14:formula1>
          <xm:sqref>B15 B16 B17 B18 B19</xm:sqref>
        </x14:dataValidation>
        <x14:dataValidation type="list" xr:uid="{00000000-0002-0000-0200-000004000000}">
          <x14:formula1>
            <xm:f>'Master Data'!$A$19:$A$25</xm:f>
          </x14:formula1>
          <xm:sqref>B24 B25 B26</xm:sqref>
        </x14:dataValidation>
        <x14:dataValidation type="list" xr:uid="{00000000-0002-0000-0200-000005000000}">
          <x14:formula1>
            <xm:f>'Master Data'!$A$28:$A$34</xm:f>
          </x14:formula1>
          <xm:sqref>B31 B32 B33</xm:sqref>
        </x14:dataValidation>
        <x14:dataValidation type="list" xr:uid="{00000000-0002-0000-0200-000006000000}">
          <x14:formula1>
            <xm:f>'Master Data'!$A$38:$A$46</xm:f>
          </x14:formula1>
          <xm:sqref>B38 B39 B40 B41 B42</xm:sqref>
        </x14:dataValidation>
        <x14:dataValidation type="list" xr:uid="{00000000-0002-0000-0200-000007000000}">
          <x14:formula1>
            <xm:f>'Master Data'!$A$50:$A$56</xm:f>
          </x14:formula1>
          <xm:sqref>B47 B48 B49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62828"/>
  </sheetPr>
  <dimension ref="A1:H14"/>
  <sheetViews>
    <sheetView workbookViewId="0">
      <pane ySplit="5" topLeftCell="A6" activePane="bottomLeft" state="frozen"/>
      <selection pane="bottomLeft" activeCell="B12" sqref="B12"/>
    </sheetView>
  </sheetViews>
  <sheetFormatPr defaultRowHeight="15"/>
  <cols>
    <col min="1" max="1" width="18" customWidth="1"/>
    <col min="2" max="4" width="16" customWidth="1"/>
    <col min="5" max="5" width="14" customWidth="1"/>
    <col min="6" max="6" width="16" customWidth="1"/>
    <col min="7" max="8" width="14" customWidth="1"/>
  </cols>
  <sheetData>
    <row r="1" spans="1:8" ht="33.75" customHeight="1">
      <c r="A1" s="32" t="s">
        <v>182</v>
      </c>
      <c r="B1" s="42"/>
      <c r="C1" s="42"/>
      <c r="D1" s="42"/>
      <c r="E1" s="42"/>
      <c r="F1" s="42"/>
      <c r="G1" s="42"/>
      <c r="H1" s="42"/>
    </row>
    <row r="2" spans="1:8">
      <c r="A2" s="1" t="s">
        <v>183</v>
      </c>
    </row>
    <row r="4" spans="1:8">
      <c r="A4" s="31" t="s">
        <v>184</v>
      </c>
      <c r="B4" s="43"/>
      <c r="C4" s="43"/>
      <c r="D4" s="43"/>
      <c r="E4" s="43"/>
      <c r="F4" s="43"/>
      <c r="G4" s="43"/>
      <c r="H4" s="43"/>
    </row>
    <row r="5" spans="1:8">
      <c r="A5" s="2" t="s">
        <v>153</v>
      </c>
      <c r="B5" s="2" t="s">
        <v>143</v>
      </c>
      <c r="C5" s="2" t="s">
        <v>144</v>
      </c>
      <c r="D5" s="2" t="s">
        <v>145</v>
      </c>
      <c r="E5" s="2" t="s">
        <v>155</v>
      </c>
      <c r="F5" s="2" t="s">
        <v>185</v>
      </c>
      <c r="G5" s="2" t="s">
        <v>186</v>
      </c>
      <c r="H5" s="2" t="s">
        <v>187</v>
      </c>
    </row>
    <row r="6" spans="1:8">
      <c r="A6" s="6" t="s">
        <v>156</v>
      </c>
      <c r="B6" s="5">
        <f>'Package Selector'!G20</f>
        <v>789</v>
      </c>
      <c r="C6" s="5">
        <f>'Package Selector'!H20</f>
        <v>789</v>
      </c>
      <c r="D6" s="5">
        <f>'Package Selector'!I20</f>
        <v>0</v>
      </c>
      <c r="E6" s="22">
        <f>IF(C6&gt;0,D6/C6,0)</f>
        <v>0</v>
      </c>
      <c r="F6" s="5">
        <f>IF('Package Selector'!G5&gt;0,B6/'Package Selector'!G5,0)</f>
        <v>197.25</v>
      </c>
      <c r="G6" s="5">
        <f>IF('Package Selector'!G5&gt;0,C6/'Package Selector'!G5,0)</f>
        <v>197.25</v>
      </c>
      <c r="H6" s="5">
        <f>IF('Package Selector'!G5&gt;0,D6/'Package Selector'!G5,0)</f>
        <v>0</v>
      </c>
    </row>
    <row r="7" spans="1:8">
      <c r="A7" s="6" t="s">
        <v>157</v>
      </c>
      <c r="B7" s="5">
        <f>'Package Selector'!G27</f>
        <v>0</v>
      </c>
      <c r="C7" s="5">
        <f>'Package Selector'!H27</f>
        <v>0</v>
      </c>
      <c r="D7" s="5">
        <f>'Package Selector'!I27</f>
        <v>0</v>
      </c>
      <c r="E7" s="22">
        <f>IF(C7&gt;0,D7/C7,0)</f>
        <v>0</v>
      </c>
      <c r="F7" s="5">
        <f>IF('Package Selector'!G5&gt;0,B7/'Package Selector'!G5,0)</f>
        <v>0</v>
      </c>
      <c r="G7" s="5">
        <f>IF('Package Selector'!G5&gt;0,C7/'Package Selector'!G5,0)</f>
        <v>0</v>
      </c>
      <c r="H7" s="5">
        <f>IF('Package Selector'!G5&gt;0,D7/'Package Selector'!G5,0)</f>
        <v>0</v>
      </c>
    </row>
    <row r="8" spans="1:8">
      <c r="A8" s="6" t="s">
        <v>158</v>
      </c>
      <c r="B8" s="5">
        <f>'Package Selector'!G34</f>
        <v>0</v>
      </c>
      <c r="C8" s="5">
        <f>'Package Selector'!H34</f>
        <v>0</v>
      </c>
      <c r="D8" s="5">
        <f>'Package Selector'!I34</f>
        <v>0</v>
      </c>
      <c r="E8" s="22">
        <f>IF(C8&gt;0,D8/C8,0)</f>
        <v>0</v>
      </c>
      <c r="F8" s="5">
        <f>IF('Package Selector'!G5&gt;0,B8/'Package Selector'!G5,0)</f>
        <v>0</v>
      </c>
      <c r="G8" s="5">
        <f>IF('Package Selector'!G5&gt;0,C8/'Package Selector'!G5,0)</f>
        <v>0</v>
      </c>
      <c r="H8" s="5">
        <f>IF('Package Selector'!G5&gt;0,D8/'Package Selector'!G5,0)</f>
        <v>0</v>
      </c>
    </row>
    <row r="9" spans="1:8">
      <c r="A9" s="6" t="s">
        <v>159</v>
      </c>
      <c r="B9" s="5">
        <f>'Package Selector'!G43</f>
        <v>0</v>
      </c>
      <c r="C9" s="5">
        <f>'Package Selector'!H43</f>
        <v>0</v>
      </c>
      <c r="D9" s="5">
        <f>'Package Selector'!I43</f>
        <v>0</v>
      </c>
      <c r="E9" s="22">
        <f>IF(C9&gt;0,D9/C9,0)</f>
        <v>0</v>
      </c>
      <c r="F9" s="5">
        <f>IF('Package Selector'!G5&gt;0,B9/'Package Selector'!G5,0)</f>
        <v>0</v>
      </c>
      <c r="G9" s="5">
        <f>IF('Package Selector'!G5&gt;0,C9/'Package Selector'!G5,0)</f>
        <v>0</v>
      </c>
      <c r="H9" s="5">
        <f>IF('Package Selector'!G5&gt;0,D9/'Package Selector'!G5,0)</f>
        <v>0</v>
      </c>
    </row>
    <row r="10" spans="1:8">
      <c r="A10" s="6" t="s">
        <v>160</v>
      </c>
      <c r="B10" s="5">
        <f>'Package Selector'!G50</f>
        <v>0</v>
      </c>
      <c r="C10" s="5">
        <f>'Package Selector'!H50</f>
        <v>0</v>
      </c>
      <c r="D10" s="5">
        <f>'Package Selector'!I50</f>
        <v>0</v>
      </c>
      <c r="E10" s="22">
        <f>IF(C10&gt;0,D10/C10,0)</f>
        <v>0</v>
      </c>
      <c r="F10" s="5">
        <f>IF('Package Selector'!G5&gt;0,B10/'Package Selector'!G5,0)</f>
        <v>0</v>
      </c>
      <c r="G10" s="5">
        <f>IF('Package Selector'!G5&gt;0,C10/'Package Selector'!G5,0)</f>
        <v>0</v>
      </c>
      <c r="H10" s="5">
        <f>IF('Package Selector'!G5&gt;0,D10/'Package Selector'!G5,0)</f>
        <v>0</v>
      </c>
    </row>
    <row r="11" spans="1:8">
      <c r="A11" s="30" t="s">
        <v>188</v>
      </c>
      <c r="B11" s="23">
        <f>SUM(B6:B10)</f>
        <v>789</v>
      </c>
      <c r="C11" s="23">
        <f>SUM(C6:C10)</f>
        <v>789</v>
      </c>
      <c r="D11" s="23">
        <f>SUM(D6:D10)</f>
        <v>0</v>
      </c>
      <c r="E11" s="24">
        <f>SUM(E6:E10)</f>
        <v>0</v>
      </c>
      <c r="F11" s="23">
        <f>SUM(F6:F10)</f>
        <v>197.25</v>
      </c>
      <c r="G11" s="23">
        <f>SUM(G6:G10)</f>
        <v>197.25</v>
      </c>
      <c r="H11" s="23">
        <f>SUM(H6:H10)</f>
        <v>0</v>
      </c>
    </row>
    <row r="13" spans="1:8">
      <c r="A13" s="36" t="s">
        <v>189</v>
      </c>
      <c r="B13" s="42"/>
      <c r="C13" s="42"/>
      <c r="D13" s="42"/>
      <c r="E13" s="42"/>
      <c r="F13" s="42"/>
      <c r="G13" s="42"/>
      <c r="H13" s="42"/>
    </row>
    <row r="14" spans="1:8">
      <c r="A14" s="36" t="s">
        <v>190</v>
      </c>
      <c r="B14" s="42"/>
      <c r="C14" s="42"/>
      <c r="D14" s="42"/>
      <c r="E14" s="42"/>
      <c r="F14" s="42"/>
      <c r="G14" s="42"/>
      <c r="H14" s="42"/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2026-05-23T06:48:12Z</dcterms:created>
  <dcterms:modified xsi:type="dcterms:W3CDTF">2026-05-23T22:15:07Z</dcterms:modified>
  <cp:category/>
  <cp:contentStatus/>
</cp:coreProperties>
</file>