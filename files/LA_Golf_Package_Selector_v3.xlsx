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2" autoFilterDateGrouping="1"/>
  </bookViews>
  <sheets>
    <sheet xmlns:r="http://schemas.openxmlformats.org/officeDocument/2006/relationships" name="Master Data" sheetId="1" state="visible" r:id="rId1"/>
    <sheet xmlns:r="http://schemas.openxmlformats.org/officeDocument/2006/relationships" name="Package Types" sheetId="2" state="visible" r:id="rId2"/>
    <sheet xmlns:r="http://schemas.openxmlformats.org/officeDocument/2006/relationships" name="Package Selector" sheetId="3" state="visible" r:id="rId3"/>
    <sheet xmlns:r="http://schemas.openxmlformats.org/officeDocument/2006/relationships" name="Package Summary" sheetId="4" state="visible" r:id="rId4"/>
    <sheet xmlns:r="http://schemas.openxmlformats.org/officeDocument/2006/relationships" name="Guest Package" sheetId="5" state="visible" r:id="rId5"/>
  </sheets>
  <definedNames/>
  <calcPr calcId="191028" fullCalcOnLoad="1"/>
</workbook>
</file>

<file path=xl/styles.xml><?xml version="1.0" encoding="utf-8"?>
<styleSheet xmlns="http://schemas.openxmlformats.org/spreadsheetml/2006/main">
  <numFmts count="3">
    <numFmt numFmtId="164" formatCode="0.0%"/>
    <numFmt numFmtId="165" formatCode="\$#,##0"/>
    <numFmt numFmtId="166" formatCode="$#,##0"/>
  </numFmts>
  <fonts count="22">
    <font>
      <name val="Calibri"/>
      <family val="2"/>
      <color theme="1"/>
      <sz val="11"/>
      <scheme val="minor"/>
    </font>
    <font>
      <name val="Calibri"/>
      <b val="1"/>
      <color rgb="FF1A3450"/>
      <sz val="14"/>
    </font>
    <font>
      <name val="Calibri"/>
      <color rgb="FF666666"/>
      <sz val="9"/>
    </font>
    <font>
      <name val="Calibri"/>
      <b val="1"/>
      <color rgb="FFFFFFFF"/>
      <sz val="11"/>
    </font>
    <font>
      <name val="Calibri"/>
      <b val="1"/>
      <sz val="11"/>
    </font>
    <font>
      <name val="Calibri"/>
      <color rgb="FF1A3450"/>
      <sz val="11"/>
    </font>
    <font>
      <name val="Calibri"/>
      <b val="1"/>
      <color rgb="FF1A3450"/>
      <sz val="11"/>
    </font>
    <font>
      <b val="1"/>
      <color rgb="00FFFFFF"/>
      <sz val="10"/>
    </font>
    <font>
      <b val="1"/>
      <sz val="11"/>
    </font>
    <font>
      <b val="1"/>
      <color rgb="00FFFFFF"/>
      <sz val="9"/>
    </font>
    <font>
      <b val="1"/>
      <sz val="10"/>
    </font>
    <font>
      <b val="1"/>
      <sz val="12"/>
    </font>
    <font>
      <b val="1"/>
      <color rgb="001A3450"/>
      <sz val="11"/>
    </font>
    <font>
      <b val="1"/>
      <color rgb="00D4AF37"/>
      <sz val="11"/>
    </font>
    <font>
      <name val="Calibri"/>
      <b val="1"/>
      <color rgb="001A3450"/>
      <sz val="10"/>
    </font>
    <font>
      <name val="Calibri"/>
      <b val="1"/>
      <color rgb="00FFFFFF"/>
      <sz val="10"/>
    </font>
    <font>
      <name val="Calibri"/>
      <b val="1"/>
      <sz val="10"/>
    </font>
    <font>
      <name val="Calibri"/>
      <sz val="10"/>
    </font>
    <font>
      <name val="Calibri"/>
      <b val="1"/>
      <color rgb="00FFFFFF"/>
      <sz val="11"/>
    </font>
    <font>
      <name val="Calibri"/>
      <color rgb="00888888"/>
      <sz val="9"/>
    </font>
    <font>
      <name val="Calibri"/>
      <b val="1"/>
      <color rgb="001A3450"/>
      <sz val="16"/>
    </font>
    <font>
      <name val="Calibri"/>
      <b val="1"/>
      <color rgb="001A3450"/>
      <sz val="14"/>
    </font>
  </fonts>
  <fills count="22">
    <fill>
      <patternFill/>
    </fill>
    <fill>
      <patternFill patternType="gray125"/>
    </fill>
    <fill>
      <patternFill patternType="solid">
        <fgColor rgb="FFD4AF37"/>
      </patternFill>
    </fill>
    <fill>
      <patternFill patternType="solid">
        <fgColor rgb="FF1A3450"/>
      </patternFill>
    </fill>
    <fill>
      <patternFill patternType="solid">
        <fgColor rgb="FFFFFF00"/>
      </patternFill>
    </fill>
    <fill>
      <patternFill patternType="solid">
        <fgColor rgb="FFDAEEF3"/>
      </patternFill>
    </fill>
    <fill>
      <patternFill patternType="solid">
        <fgColor rgb="FFF2F2F2"/>
      </patternFill>
    </fill>
    <fill>
      <patternFill patternType="solid">
        <fgColor rgb="FFC6EFCE"/>
      </patternFill>
    </fill>
    <fill>
      <patternFill patternType="solid">
        <fgColor rgb="001A3450"/>
        <bgColor rgb="001A3450"/>
      </patternFill>
    </fill>
    <fill>
      <patternFill patternType="solid">
        <fgColor rgb="00FFFFD7"/>
        <bgColor rgb="00FFFFD7"/>
      </patternFill>
    </fill>
    <fill>
      <patternFill patternType="solid">
        <fgColor rgb="00DCE6F1"/>
        <bgColor rgb="00DCE6F1"/>
      </patternFill>
    </fill>
    <fill>
      <patternFill patternType="solid">
        <fgColor rgb="FFD4AF37"/>
        <bgColor rgb="FFD4AF37"/>
      </patternFill>
    </fill>
    <fill>
      <patternFill patternType="solid">
        <fgColor rgb="FF1A3450"/>
        <bgColor rgb="FF1A3450"/>
      </patternFill>
    </fill>
    <fill>
      <patternFill patternType="solid">
        <fgColor rgb="FFFFFFCC"/>
        <bgColor rgb="FFFFFFCC"/>
      </patternFill>
    </fill>
    <fill>
      <patternFill patternType="solid">
        <fgColor rgb="FFFFFF00"/>
        <bgColor rgb="FFFFFF00"/>
      </patternFill>
    </fill>
    <fill>
      <patternFill patternType="solid">
        <fgColor rgb="FFDAEEF3"/>
        <bgColor rgb="FFDAEEF3"/>
      </patternFill>
    </fill>
    <fill>
      <patternFill patternType="solid">
        <fgColor rgb="FFD9D9D9"/>
        <bgColor rgb="FFD9D9D9"/>
      </patternFill>
    </fill>
    <fill>
      <patternFill patternType="solid">
        <fgColor rgb="FFC6EFCE"/>
        <bgColor rgb="FFC6EFCE"/>
      </patternFill>
    </fill>
    <fill>
      <patternFill patternType="solid">
        <fgColor rgb="FFF4B183"/>
        <bgColor rgb="FFF4B183"/>
      </patternFill>
    </fill>
    <fill>
      <patternFill patternType="solid">
        <fgColor rgb="FFE8F0FE"/>
        <bgColor rgb="FFE8F0FE"/>
      </patternFill>
    </fill>
    <fill>
      <patternFill patternType="solid">
        <fgColor rgb="FFF2F2F2"/>
        <bgColor rgb="FFF2F2F2"/>
      </patternFill>
    </fill>
    <fill>
      <patternFill patternType="solid">
        <fgColor rgb="FFFFC7CE"/>
        <bgColor rgb="FFFFC7CE"/>
      </patternFill>
    </fill>
  </fills>
  <borders count="23">
    <border>
      <left/>
      <right/>
      <top/>
      <bottom/>
      <diagonal/>
    </border>
    <border>
      <left style="thin">
        <color rgb="FFDDDDDD"/>
      </left>
      <right style="thin">
        <color rgb="FFDDDDDD"/>
      </right>
      <top style="thin">
        <color rgb="FFDDDDDD"/>
      </top>
      <bottom style="thin">
        <color rgb="FFDDDDDD"/>
      </bottom>
      <diagonal/>
    </border>
    <border>
      <left/>
      <right/>
      <top style="thin">
        <color rgb="FFDDDDDD"/>
      </top>
      <bottom/>
      <diagonal/>
    </border>
    <border>
      <left/>
      <right style="thin">
        <color rgb="FFDDDDDD"/>
      </right>
      <top style="thin">
        <color rgb="FFDDDDDD"/>
      </top>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medium">
        <color rgb="FF333333"/>
      </left>
      <right style="medium">
        <color rgb="FF333333"/>
      </right>
      <top style="medium">
        <color rgb="FF333333"/>
      </top>
      <bottom style="medium">
        <color rgb="FF333333"/>
      </bottom>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medium">
        <color rgb="FF4472C4"/>
      </left>
      <right style="medium">
        <color rgb="FF4472C4"/>
      </right>
      <top style="medium">
        <color rgb="FF4472C4"/>
      </top>
      <bottom style="medium">
        <color rgb="FF4472C4"/>
      </bottom>
    </border>
    <border>
      <left/>
      <right/>
      <top style="medium">
        <color rgb="FF333333"/>
      </top>
      <bottom/>
      <diagonal/>
    </border>
    <border>
      <left/>
      <right style="medium">
        <color rgb="FF333333"/>
      </right>
      <top style="medium">
        <color rgb="FF333333"/>
      </top>
      <bottom/>
      <diagonal/>
    </border>
    <border>
      <left/>
      <right style="medium">
        <color rgb="FF333333"/>
      </right>
      <top style="medium">
        <color rgb="FF333333"/>
      </top>
      <bottom style="medium">
        <color rgb="FF333333"/>
      </bottom>
      <diagonal/>
    </border>
    <border>
      <left/>
      <right/>
      <top style="medium">
        <color rgb="FF333333"/>
      </top>
      <bottom style="medium">
        <color rgb="FF333333"/>
      </bottom>
      <diagonal/>
    </border>
    <border>
      <left style="medium">
        <color rgb="FF1A3450"/>
      </left>
      <right style="medium">
        <color rgb="FF1A3450"/>
      </right>
      <top style="medium">
        <color rgb="FF1A3450"/>
      </top>
      <bottom style="medium">
        <color rgb="FF1A3450"/>
      </bottom>
    </border>
  </borders>
  <cellStyleXfs count="1">
    <xf numFmtId="0" fontId="0" fillId="0" borderId="0"/>
  </cellStyleXfs>
  <cellXfs count="157">
    <xf numFmtId="0" fontId="0" fillId="0" borderId="0" pivotButton="0" quotePrefix="0" xfId="0"/>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3" fontId="4" fillId="4" borderId="1" applyAlignment="1" pivotButton="0" quotePrefix="0" xfId="0">
      <alignment horizontal="center" vertical="center" wrapText="1"/>
    </xf>
    <xf numFmtId="3" fontId="4" fillId="5"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6" borderId="1" applyAlignment="1" pivotButton="0" quotePrefix="0" xfId="0">
      <alignment horizontal="center" vertical="center" wrapText="1"/>
    </xf>
    <xf numFmtId="3" fontId="4" fillId="7" borderId="1" applyAlignment="1" pivotButton="0" quotePrefix="0" xfId="0">
      <alignment horizontal="center" vertical="center" wrapText="1"/>
    </xf>
    <xf numFmtId="164" fontId="4" fillId="7" borderId="1" applyAlignment="1" pivotButton="0" quotePrefix="0" xfId="0">
      <alignment horizontal="center" vertical="center" wrapText="1"/>
    </xf>
    <xf numFmtId="0" fontId="0" fillId="6" borderId="0" pivotButton="0" quotePrefix="0" xfId="0"/>
    <xf numFmtId="0" fontId="6" fillId="0" borderId="1" applyAlignment="1" pivotButton="0" quotePrefix="0" xfId="0">
      <alignment horizontal="left" vertical="center" wrapText="1"/>
    </xf>
    <xf numFmtId="0" fontId="6" fillId="0" borderId="1" applyAlignment="1" pivotButton="0" quotePrefix="0" xfId="0">
      <alignment horizontal="right" vertical="center" wrapText="1"/>
    </xf>
    <xf numFmtId="1" fontId="4" fillId="4"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6" borderId="1" applyAlignment="1" pivotButton="0" quotePrefix="0" xfId="0">
      <alignment horizontal="right" vertical="center" wrapText="1"/>
    </xf>
    <xf numFmtId="0" fontId="2" fillId="0" borderId="1" applyAlignment="1" pivotButton="0" quotePrefix="0" xfId="0">
      <alignment horizontal="right" vertical="center" wrapText="1"/>
    </xf>
    <xf numFmtId="49" fontId="4" fillId="5"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xf numFmtId="1" fontId="4" fillId="5" borderId="1" applyAlignment="1" pivotButton="0" quotePrefix="0" xfId="0">
      <alignment horizontal="center" vertical="center" wrapText="1"/>
    </xf>
    <xf numFmtId="0" fontId="6" fillId="6" borderId="1" applyAlignment="1" pivotButton="0" quotePrefix="0" xfId="0">
      <alignment horizontal="right" vertical="center" wrapText="1"/>
    </xf>
    <xf numFmtId="164" fontId="4" fillId="5" borderId="1" applyAlignment="1" pivotButton="0" quotePrefix="0" xfId="0">
      <alignment horizontal="center" vertical="center" wrapText="1"/>
    </xf>
    <xf numFmtId="3" fontId="3" fillId="3" borderId="1" applyAlignment="1" pivotButton="0" quotePrefix="0" xfId="0">
      <alignment horizontal="center" vertical="center" wrapText="1"/>
    </xf>
    <xf numFmtId="164" fontId="3" fillId="3" borderId="1" applyAlignment="1" pivotButton="0" quotePrefix="0" xfId="0">
      <alignment horizontal="center" vertical="center" wrapText="1"/>
    </xf>
    <xf numFmtId="0" fontId="1" fillId="0" borderId="1" applyAlignment="1" pivotButton="0" quotePrefix="0" xfId="0">
      <alignment horizontal="center" vertical="center" wrapText="1"/>
    </xf>
    <xf numFmtId="0" fontId="4" fillId="0" borderId="1" applyAlignment="1" pivotButton="0" quotePrefix="0" xfId="0">
      <alignment horizontal="center" vertical="center" wrapText="1"/>
    </xf>
    <xf numFmtId="165" fontId="1" fillId="7" borderId="1" applyAlignment="1" pivotButton="0" quotePrefix="0" xfId="0">
      <alignment horizontal="center" vertical="center" wrapText="1"/>
    </xf>
    <xf numFmtId="165" fontId="4" fillId="5" borderId="1" applyAlignment="1" pivotButton="0" quotePrefix="0" xfId="0">
      <alignment horizontal="center" vertical="center" wrapText="1"/>
    </xf>
    <xf numFmtId="165" fontId="4"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2" borderId="1" applyAlignment="1" pivotButton="0" quotePrefix="0" xfId="0">
      <alignment horizontal="left" vertical="center" wrapText="1"/>
    </xf>
    <xf numFmtId="0" fontId="1" fillId="0" borderId="0" applyAlignment="1" pivotButton="0" quotePrefix="0" xfId="0">
      <alignment horizontal="left" vertical="center" wrapText="1"/>
    </xf>
    <xf numFmtId="0" fontId="6" fillId="6" borderId="1" applyAlignment="1" pivotButton="0" quotePrefix="0" xfId="0">
      <alignment horizontal="right" vertical="center" wrapText="1"/>
    </xf>
    <xf numFmtId="0" fontId="4" fillId="4" borderId="1" applyAlignment="1" pivotButton="0" quotePrefix="0" xfId="0">
      <alignment horizontal="center" vertical="center" wrapText="1"/>
    </xf>
    <xf numFmtId="0" fontId="3" fillId="3" borderId="1" applyAlignment="1" pivotButton="0" quotePrefix="0" xfId="0">
      <alignment horizontal="right" vertical="center" wrapText="1"/>
    </xf>
    <xf numFmtId="0" fontId="2" fillId="0" borderId="0" applyAlignment="1" pivotButton="0" quotePrefix="0" xfId="0">
      <alignment horizontal="left" vertical="center" wrapText="1"/>
    </xf>
    <xf numFmtId="0" fontId="2" fillId="0" borderId="0" applyAlignment="1" pivotButton="0" quotePrefix="0" xfId="0">
      <alignment horizontal="left" vertical="center"/>
    </xf>
    <xf numFmtId="0" fontId="0" fillId="0" borderId="0" pivotButton="0" quotePrefix="0" xfId="0"/>
    <xf numFmtId="16" fontId="4" fillId="4" borderId="1" applyAlignment="1" pivotButton="0" quotePrefix="0" xfId="0">
      <alignment horizontal="center" vertical="center" wrapText="1"/>
    </xf>
    <xf numFmtId="0" fontId="4" fillId="4" borderId="1" applyAlignment="1" pivotButton="0" quotePrefix="0" xfId="0">
      <alignment horizontal="right" vertical="center" wrapText="1"/>
    </xf>
    <xf numFmtId="0" fontId="0" fillId="0" borderId="0" applyAlignment="1" pivotButton="0" quotePrefix="0" xfId="0">
      <alignment wrapText="1"/>
    </xf>
    <xf numFmtId="0" fontId="0" fillId="0" borderId="0" pivotButton="0" quotePrefix="0" xfId="0"/>
    <xf numFmtId="0" fontId="0" fillId="2" borderId="1" pivotButton="0" quotePrefix="0" xfId="0"/>
    <xf numFmtId="0" fontId="0" fillId="0" borderId="4" pivotButton="0" quotePrefix="0" xfId="0"/>
    <xf numFmtId="0" fontId="0" fillId="0" borderId="5" pivotButton="0" quotePrefix="0" xfId="0"/>
    <xf numFmtId="0" fontId="7" fillId="8" borderId="6" applyAlignment="1" pivotButton="0" quotePrefix="0" xfId="0">
      <alignment horizontal="center" vertical="center"/>
    </xf>
    <xf numFmtId="0" fontId="0" fillId="0" borderId="6" applyAlignment="1" pivotButton="0" quotePrefix="0" xfId="0">
      <alignment horizontal="center" vertical="center"/>
    </xf>
    <xf numFmtId="0" fontId="8" fillId="0" borderId="0" pivotButton="0" quotePrefix="0" xfId="0"/>
    <xf numFmtId="0" fontId="0" fillId="0" borderId="6" pivotButton="0" quotePrefix="0" xfId="0"/>
    <xf numFmtId="0" fontId="0" fillId="9" borderId="6" applyAlignment="1" pivotButton="0" quotePrefix="0" xfId="0">
      <alignment horizontal="center" vertical="center"/>
    </xf>
    <xf numFmtId="0" fontId="0" fillId="10" borderId="6" applyAlignment="1" pivotButton="0" quotePrefix="0" xfId="0">
      <alignment horizontal="center" vertical="center"/>
    </xf>
    <xf numFmtId="0" fontId="9" fillId="8" borderId="6" applyAlignment="1" pivotButton="0" quotePrefix="0" xfId="0">
      <alignment horizontal="center" vertical="center" wrapText="1"/>
    </xf>
    <xf numFmtId="0" fontId="9" fillId="8" borderId="6" applyAlignment="1" pivotButton="0" quotePrefix="0" xfId="0">
      <alignment horizontal="center" vertical="center"/>
    </xf>
    <xf numFmtId="0" fontId="5" fillId="9" borderId="6" applyAlignment="1" pivotButton="0" quotePrefix="0" xfId="0">
      <alignment horizontal="center" vertical="center"/>
    </xf>
    <xf numFmtId="0" fontId="5" fillId="10" borderId="6" applyAlignment="1" pivotButton="0" quotePrefix="0" xfId="0">
      <alignment horizontal="center" vertical="center"/>
    </xf>
    <xf numFmtId="0" fontId="0" fillId="9" borderId="6" pivotButton="0" quotePrefix="0" xfId="0"/>
    <xf numFmtId="0" fontId="10" fillId="0" borderId="6" pivotButton="0" quotePrefix="0" xfId="0"/>
    <xf numFmtId="0" fontId="10" fillId="10" borderId="6" applyAlignment="1" pivotButton="0" quotePrefix="0" xfId="0">
      <alignment horizontal="center" vertical="center"/>
    </xf>
    <xf numFmtId="0" fontId="11" fillId="0" borderId="0" pivotButton="0" quotePrefix="0" xfId="0"/>
    <xf numFmtId="9" fontId="0" fillId="0" borderId="6" applyAlignment="1" pivotButton="0" quotePrefix="0" xfId="0">
      <alignment horizontal="center" vertical="center"/>
    </xf>
    <xf numFmtId="0" fontId="12" fillId="0" borderId="6" pivotButton="0" quotePrefix="0" xfId="0"/>
    <xf numFmtId="0" fontId="13" fillId="8" borderId="6" applyAlignment="1" pivotButton="0" quotePrefix="0" xfId="0">
      <alignment horizontal="center" vertical="center"/>
    </xf>
    <xf numFmtId="9" fontId="10" fillId="0" borderId="6" applyAlignment="1" pivotButton="0" quotePrefix="0" xfId="0">
      <alignment horizontal="center" vertical="center"/>
    </xf>
    <xf numFmtId="166" fontId="0" fillId="0" borderId="6" applyAlignment="1" pivotButton="0" quotePrefix="0" xfId="0">
      <alignment horizontal="center" vertical="center"/>
    </xf>
    <xf numFmtId="0" fontId="10" fillId="0" borderId="6" applyAlignment="1" pivotButton="0" quotePrefix="0" xfId="0">
      <alignment horizontal="center" vertical="center"/>
    </xf>
    <xf numFmtId="166" fontId="0" fillId="0" borderId="0" pivotButton="0" quotePrefix="0" xfId="0"/>
    <xf numFmtId="0" fontId="8" fillId="3" borderId="6" applyAlignment="1" pivotButton="0" quotePrefix="0" xfId="0">
      <alignment horizontal="left" vertical="center" wrapText="1"/>
    </xf>
    <xf numFmtId="3" fontId="10" fillId="3" borderId="6" applyAlignment="1" pivotButton="0" quotePrefix="0" xfId="0">
      <alignment horizontal="center" vertical="center"/>
    </xf>
    <xf numFmtId="164" fontId="10" fillId="3" borderId="6" applyAlignment="1" pivotButton="0" quotePrefix="0" xfId="0">
      <alignment horizontal="center" vertical="center"/>
    </xf>
    <xf numFmtId="0" fontId="4" fillId="4" borderId="17" applyAlignment="1" pivotButton="0" quotePrefix="0" xfId="0">
      <alignment horizontal="right" vertical="center" wrapText="1"/>
    </xf>
    <xf numFmtId="3" fontId="4" fillId="4" borderId="17" applyAlignment="1" pivotButton="0" quotePrefix="0" xfId="0">
      <alignment horizontal="center" vertical="center" wrapText="1"/>
    </xf>
    <xf numFmtId="0" fontId="5" fillId="0" borderId="17" applyAlignment="1" pivotButton="0" quotePrefix="0" xfId="0">
      <alignment horizontal="center" vertical="center" wrapText="1"/>
    </xf>
    <xf numFmtId="0" fontId="0" fillId="0" borderId="17" applyAlignment="1" pivotButton="0" quotePrefix="0" xfId="0">
      <alignment horizontal="center" vertical="center"/>
    </xf>
    <xf numFmtId="0" fontId="0" fillId="0" borderId="17" pivotButton="0" quotePrefix="0" xfId="0"/>
    <xf numFmtId="0" fontId="0" fillId="9" borderId="17" applyAlignment="1" pivotButton="0" quotePrefix="0" xfId="0">
      <alignment horizontal="center" vertical="center"/>
    </xf>
    <xf numFmtId="0" fontId="15" fillId="12" borderId="11" applyAlignment="1" pivotButton="0" quotePrefix="0" xfId="0">
      <alignment horizontal="center" vertical="center" wrapText="1"/>
    </xf>
    <xf numFmtId="0" fontId="14" fillId="11" borderId="11" applyAlignment="1" pivotButton="0" quotePrefix="0" xfId="0">
      <alignment horizontal="center" vertical="center" wrapText="1"/>
    </xf>
    <xf numFmtId="0" fontId="16" fillId="13" borderId="11" applyAlignment="1" pivotButton="0" quotePrefix="0" xfId="0">
      <alignment horizontal="center" vertical="center" wrapText="1"/>
    </xf>
    <xf numFmtId="3" fontId="17" fillId="0" borderId="12" applyAlignment="1" pivotButton="0" quotePrefix="0" xfId="0">
      <alignment horizontal="center" vertical="center" wrapText="1"/>
    </xf>
    <xf numFmtId="164" fontId="17" fillId="0" borderId="12" applyAlignment="1" pivotButton="0" quotePrefix="0" xfId="0">
      <alignment horizontal="center" vertical="center" wrapText="1"/>
    </xf>
    <xf numFmtId="0" fontId="17" fillId="0" borderId="12" applyAlignment="1" pivotButton="0" quotePrefix="0" xfId="0">
      <alignment horizontal="center" vertical="center" wrapText="1"/>
    </xf>
    <xf numFmtId="0" fontId="17" fillId="14" borderId="12" applyAlignment="1" pivotButton="0" quotePrefix="0" xfId="0">
      <alignment horizontal="center" vertical="center" wrapText="1"/>
    </xf>
    <xf numFmtId="3" fontId="17" fillId="14" borderId="12" applyAlignment="1" pivotButton="0" quotePrefix="0" xfId="0">
      <alignment horizontal="center" vertical="center" wrapText="1"/>
    </xf>
    <xf numFmtId="3" fontId="17" fillId="15" borderId="12" applyAlignment="1" pivotButton="0" quotePrefix="0" xfId="0">
      <alignment horizontal="center" vertical="center" wrapText="1"/>
    </xf>
    <xf numFmtId="0" fontId="14" fillId="16" borderId="12" applyAlignment="1" pivotButton="0" quotePrefix="0" xfId="0">
      <alignment horizontal="center" vertical="center" wrapText="1"/>
    </xf>
    <xf numFmtId="0" fontId="0" fillId="0" borderId="15" pivotButton="0" quotePrefix="0" xfId="0"/>
    <xf numFmtId="0" fontId="0" fillId="0" borderId="16" pivotButton="0" quotePrefix="0" xfId="0"/>
    <xf numFmtId="3" fontId="16" fillId="17" borderId="12" applyAlignment="1" pivotButton="0" quotePrefix="0" xfId="0">
      <alignment horizontal="center" vertical="center" wrapText="1"/>
    </xf>
    <xf numFmtId="0" fontId="0" fillId="0" borderId="9" pivotButton="0" quotePrefix="0" xfId="0"/>
    <xf numFmtId="0" fontId="0" fillId="0" borderId="10" pivotButton="0" quotePrefix="0" xfId="0"/>
    <xf numFmtId="164" fontId="16" fillId="17" borderId="12" applyAlignment="1" pivotButton="0" quotePrefix="0" xfId="0">
      <alignment horizontal="center" vertical="center" wrapText="1"/>
    </xf>
    <xf numFmtId="0" fontId="0" fillId="0" borderId="20" pivotButton="0" quotePrefix="0" xfId="0"/>
    <xf numFmtId="0" fontId="14" fillId="18" borderId="11" applyAlignment="1" pivotButton="0" quotePrefix="0" xfId="0">
      <alignment horizontal="center" vertical="center" wrapText="1"/>
    </xf>
    <xf numFmtId="0" fontId="0" fillId="18" borderId="11" pivotButton="0" quotePrefix="0" xfId="0"/>
    <xf numFmtId="0" fontId="0" fillId="11" borderId="11" pivotButton="0" quotePrefix="0" xfId="0"/>
    <xf numFmtId="0" fontId="16" fillId="18" borderId="11" applyAlignment="1" pivotButton="0" quotePrefix="0" xfId="0">
      <alignment horizontal="center" vertical="center" wrapText="1"/>
    </xf>
    <xf numFmtId="0" fontId="3" fillId="0" borderId="12" applyAlignment="1" pivotButton="0" quotePrefix="0" xfId="0">
      <alignment horizontal="center" vertical="center" wrapText="1"/>
    </xf>
    <xf numFmtId="0" fontId="15" fillId="12" borderId="12" applyAlignment="1" pivotButton="0" quotePrefix="0" xfId="0">
      <alignment horizontal="center" vertical="center" wrapText="1"/>
    </xf>
    <xf numFmtId="3" fontId="4"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7" fillId="0" borderId="12" pivotButton="0" quotePrefix="0" xfId="0"/>
    <xf numFmtId="166" fontId="17" fillId="0" borderId="12" pivotButton="0" quotePrefix="0" xfId="0"/>
    <xf numFmtId="0" fontId="18" fillId="11" borderId="11" applyAlignment="1" pivotButton="0" quotePrefix="0" xfId="0">
      <alignment horizontal="left" vertical="center" wrapText="1"/>
    </xf>
    <xf numFmtId="0" fontId="18" fillId="11" borderId="11" applyAlignment="1" pivotButton="0" quotePrefix="0" xfId="0">
      <alignment horizontal="center" vertical="center" wrapText="1"/>
    </xf>
    <xf numFmtId="0" fontId="19" fillId="0" borderId="12" applyAlignment="1" pivotButton="0" quotePrefix="0" xfId="0">
      <alignment horizontal="left" vertical="center" wrapText="1"/>
    </xf>
    <xf numFmtId="0" fontId="14" fillId="0" borderId="12" applyAlignment="1" pivotButton="0" quotePrefix="0" xfId="0">
      <alignment horizontal="right" vertical="center"/>
    </xf>
    <xf numFmtId="0" fontId="16" fillId="19" borderId="12" applyAlignment="1" pivotButton="0" quotePrefix="0" xfId="0">
      <alignment horizontal="center" vertical="center" wrapText="1"/>
    </xf>
    <xf numFmtId="0" fontId="17" fillId="0" borderId="12" applyAlignment="1" pivotButton="0" quotePrefix="0" xfId="0">
      <alignment horizontal="left" vertical="center" wrapText="1"/>
    </xf>
    <xf numFmtId="0" fontId="17" fillId="20" borderId="12" applyAlignment="1" pivotButton="0" quotePrefix="0" xfId="0">
      <alignment horizontal="left" vertical="center" wrapText="1"/>
    </xf>
    <xf numFmtId="3" fontId="17" fillId="19" borderId="12" applyAlignment="1" pivotButton="0" quotePrefix="0" xfId="0">
      <alignment horizontal="center" vertical="center" wrapText="1"/>
    </xf>
    <xf numFmtId="0" fontId="17" fillId="21" borderId="12" applyAlignment="1" pivotButton="0" quotePrefix="0" xfId="0">
      <alignment horizontal="center" vertical="center" wrapText="1"/>
    </xf>
    <xf numFmtId="3" fontId="19" fillId="19" borderId="12" applyAlignment="1" pivotButton="0" quotePrefix="0" xfId="0">
      <alignment horizontal="center" vertical="center" wrapText="1"/>
    </xf>
    <xf numFmtId="0" fontId="16" fillId="16" borderId="12" applyAlignment="1" pivotButton="0" quotePrefix="0" xfId="0">
      <alignment horizontal="left" vertical="center" wrapText="1"/>
    </xf>
    <xf numFmtId="0" fontId="16" fillId="16" borderId="12" applyAlignment="1" pivotButton="0" quotePrefix="0" xfId="0">
      <alignment horizontal="center" vertical="center" wrapText="1"/>
    </xf>
    <xf numFmtId="0" fontId="16" fillId="17" borderId="12" applyAlignment="1" pivotButton="0" quotePrefix="0" xfId="0">
      <alignment horizontal="left" vertical="center" wrapText="1"/>
    </xf>
    <xf numFmtId="0" fontId="16" fillId="0" borderId="12" applyAlignment="1" pivotButton="0" quotePrefix="0" xfId="0">
      <alignment horizontal="right" vertical="center"/>
    </xf>
    <xf numFmtId="3" fontId="16" fillId="0" borderId="12" applyAlignment="1" pivotButton="0" quotePrefix="0" xfId="0">
      <alignment horizontal="center" vertical="center" wrapText="1"/>
    </xf>
    <xf numFmtId="0" fontId="16" fillId="0" borderId="12" applyAlignment="1" pivotButton="0" quotePrefix="0" xfId="0">
      <alignment horizontal="center" vertical="center" wrapText="1"/>
    </xf>
    <xf numFmtId="0" fontId="15" fillId="12" borderId="12" applyAlignment="1" pivotButton="0" quotePrefix="0" xfId="0">
      <alignment horizontal="left" vertical="center" wrapText="1"/>
    </xf>
    <xf numFmtId="0" fontId="14" fillId="19" borderId="11" applyAlignment="1" pivotButton="0" quotePrefix="0" xfId="0">
      <alignment horizontal="left" vertical="center" wrapText="1"/>
    </xf>
    <xf numFmtId="0" fontId="14" fillId="19" borderId="11" applyAlignment="1" pivotButton="0" quotePrefix="0" xfId="0">
      <alignment horizontal="center" vertical="center" wrapText="1"/>
    </xf>
    <xf numFmtId="0" fontId="17" fillId="15" borderId="12" applyAlignment="1" pivotButton="0" quotePrefix="0" xfId="0">
      <alignment horizontal="center" vertical="center" wrapText="1"/>
    </xf>
    <xf numFmtId="0" fontId="16" fillId="16" borderId="12" applyAlignment="1" pivotButton="0" quotePrefix="0" xfId="0">
      <alignment horizontal="right" vertical="center"/>
    </xf>
    <xf numFmtId="0" fontId="18" fillId="12" borderId="11" applyAlignment="1" pivotButton="0" quotePrefix="0" xfId="0">
      <alignment horizontal="left" vertical="center" wrapText="1"/>
    </xf>
    <xf numFmtId="0" fontId="18" fillId="12" borderId="11" applyAlignment="1" pivotButton="0" quotePrefix="0" xfId="0">
      <alignment horizontal="center" vertical="center" wrapText="1"/>
    </xf>
    <xf numFmtId="0" fontId="17" fillId="0" borderId="12" applyAlignment="1" pivotButton="0" quotePrefix="0" xfId="0">
      <alignment horizontal="right" vertical="center"/>
    </xf>
    <xf numFmtId="0" fontId="16" fillId="21" borderId="12" applyAlignment="1" pivotButton="0" quotePrefix="0" xfId="0">
      <alignment horizontal="center" vertical="center" wrapText="1"/>
    </xf>
    <xf numFmtId="0" fontId="14" fillId="11" borderId="11" applyAlignment="1" pivotButton="0" quotePrefix="0" xfId="0">
      <alignment horizontal="left" vertical="center" wrapText="1"/>
    </xf>
    <xf numFmtId="0" fontId="17" fillId="14" borderId="12" applyAlignment="1" pivotButton="0" quotePrefix="0" xfId="0">
      <alignment horizontal="left" vertical="center" wrapText="1"/>
    </xf>
    <xf numFmtId="3" fontId="16" fillId="16" borderId="12" applyAlignment="1" pivotButton="0" quotePrefix="0" xfId="0">
      <alignment horizontal="center" vertical="center" wrapText="1"/>
    </xf>
    <xf numFmtId="3" fontId="16" fillId="19" borderId="12" applyAlignment="1" pivotButton="0" quotePrefix="0" xfId="0">
      <alignment horizontal="center" vertical="center" wrapText="1"/>
    </xf>
    <xf numFmtId="164" fontId="17" fillId="19" borderId="12" applyAlignment="1" pivotButton="0" quotePrefix="0" xfId="0">
      <alignment horizontal="center" vertical="center" wrapText="1"/>
    </xf>
    <xf numFmtId="3" fontId="16" fillId="15" borderId="12" applyAlignment="1" pivotButton="0" quotePrefix="0" xfId="0">
      <alignment horizontal="center" vertical="center" wrapText="1"/>
    </xf>
    <xf numFmtId="0" fontId="18" fillId="21" borderId="11" applyAlignment="1" pivotButton="0" quotePrefix="0" xfId="0">
      <alignment horizontal="left" vertical="center" wrapText="1"/>
    </xf>
    <xf numFmtId="0" fontId="18" fillId="21" borderId="11" applyAlignment="1" pivotButton="0" quotePrefix="0" xfId="0">
      <alignment horizontal="center" vertical="center" wrapText="1"/>
    </xf>
    <xf numFmtId="0" fontId="16" fillId="0" borderId="12" applyAlignment="1" pivotButton="0" quotePrefix="0" xfId="0">
      <alignment horizontal="left" vertical="center" wrapText="1"/>
    </xf>
    <xf numFmtId="164" fontId="17" fillId="15" borderId="12" applyAlignment="1" pivotButton="0" quotePrefix="0" xfId="0">
      <alignment horizontal="center" vertical="center" wrapText="1"/>
    </xf>
    <xf numFmtId="0" fontId="16" fillId="14" borderId="12" applyAlignment="1" pivotButton="0" quotePrefix="0" xfId="0">
      <alignment horizontal="center" vertical="center" wrapText="1"/>
    </xf>
    <xf numFmtId="0" fontId="17" fillId="19" borderId="12" applyAlignment="1" pivotButton="0" quotePrefix="0" xfId="0">
      <alignment horizontal="center" vertical="center" wrapText="1"/>
    </xf>
    <xf numFmtId="0" fontId="14" fillId="0" borderId="12" applyAlignment="1" pivotButton="0" quotePrefix="0" xfId="0">
      <alignment horizontal="left" vertical="center" wrapText="1"/>
    </xf>
    <xf numFmtId="0" fontId="18" fillId="11" borderId="12" applyAlignment="1" pivotButton="0" quotePrefix="0" xfId="0">
      <alignment horizontal="center" vertical="center" wrapText="1"/>
    </xf>
    <xf numFmtId="0" fontId="19" fillId="0" borderId="12" applyAlignment="1" pivotButton="0" quotePrefix="0" xfId="0">
      <alignment horizontal="center" vertical="center" wrapText="1"/>
    </xf>
    <xf numFmtId="0" fontId="20" fillId="0" borderId="22" applyAlignment="1" pivotButton="0" quotePrefix="0" xfId="0">
      <alignment horizontal="center" vertical="center" wrapText="1"/>
    </xf>
    <xf numFmtId="0" fontId="17" fillId="15" borderId="12" applyAlignment="1" pivotButton="0" quotePrefix="0" xfId="0">
      <alignment horizontal="left" vertical="center" wrapText="1"/>
    </xf>
    <xf numFmtId="0" fontId="21" fillId="0" borderId="22" applyAlignment="1" pivotButton="0" quotePrefix="0" xfId="0">
      <alignment horizontal="center" vertical="center" wrapText="1"/>
    </xf>
    <xf numFmtId="0" fontId="16" fillId="12" borderId="11" applyAlignment="1" pivotButton="0" quotePrefix="0" xfId="0">
      <alignment horizontal="center" vertical="center" wrapText="1"/>
    </xf>
    <xf numFmtId="3" fontId="0" fillId="10" borderId="6" applyAlignment="1" pivotButton="0" quotePrefix="0" xfId="0">
      <alignment horizontal="center" vertical="center"/>
    </xf>
    <xf numFmtId="0" fontId="16" fillId="0" borderId="11" applyAlignment="1" pivotButton="0" quotePrefix="0" xfId="0">
      <alignment horizontal="center" vertical="center" wrapText="1"/>
    </xf>
    <xf numFmtId="3" fontId="17" fillId="0" borderId="12" applyAlignment="1" pivotButton="0" quotePrefix="0" xfId="0">
      <alignment horizontal="left" vertical="center" wrapText="1"/>
    </xf>
    <xf numFmtId="0" fontId="0" fillId="0" borderId="21" pivotButton="0" quotePrefix="0" xfId="0"/>
    <xf numFmtId="0" fontId="16" fillId="15" borderId="12" applyAlignment="1" pivotButton="0" quotePrefix="0" xfId="0">
      <alignment horizontal="left" vertical="center" wrapText="1"/>
    </xf>
    <xf numFmtId="0" fontId="16" fillId="15" borderId="12" applyAlignment="1" pivotButton="0" quotePrefix="0" xfId="0">
      <alignment horizontal="center" vertical="center" wrapText="1"/>
    </xf>
    <xf numFmtId="166" fontId="20" fillId="17" borderId="12" applyAlignment="1" pivotButton="0" quotePrefix="0" xfId="0">
      <alignment horizontal="center" vertical="center" wrapText="1"/>
    </xf>
    <xf numFmtId="166" fontId="20" fillId="15" borderId="12" applyAlignment="1" pivotButton="0" quotePrefix="0" xfId="0">
      <alignment horizontal="center" vertical="center" wrapText="1"/>
    </xf>
    <xf numFmtId="166" fontId="16" fillId="0" borderId="12" applyAlignment="1" pivotButton="0" quotePrefix="0" xfId="0">
      <alignment horizontal="center" vertical="center" wrapText="1"/>
    </xf>
    <xf numFmtId="164" fontId="16" fillId="0" borderId="12" applyAlignment="1" pivotButton="0" quotePrefix="0" xfId="0">
      <alignment horizontal="center" vertical="center" wrapText="1"/>
    </xf>
  </cellXfs>
  <cellStyles count="1">
    <cellStyle name="Normal" xfId="0" builtinId="0"/>
  </cellStyles>
  <dxfs count="7">
    <dxf>
      <font>
        <b val="1"/>
        <color rgb="009C0006"/>
      </font>
      <fill>
        <patternFill patternType="solid">
          <fgColor rgb="FFFFC7CE"/>
          <bgColor rgb="FFFFC7CE"/>
        </patternFill>
      </fill>
    </dxf>
    <dxf>
      <font>
        <color rgb="009C0006"/>
      </font>
      <fill>
        <patternFill patternType="solid">
          <fgColor rgb="FFFFC7CE"/>
          <bgColor rgb="FFFFC7CE"/>
        </patternFill>
      </fill>
    </dxf>
    <dxf>
      <fill>
        <patternFill patternType="solid">
          <fgColor rgb="FFFFC7CE"/>
          <bgColor rgb="FFFFC7CE"/>
        </patternFill>
      </fill>
    </dxf>
    <dxf>
      <font>
        <name val="Calibri"/>
        <b val="1"/>
        <color rgb="009C0006"/>
        <sz val="10"/>
      </font>
      <fill>
        <patternFill patternType="solid">
          <fgColor rgb="FFFFC7CE"/>
          <bgColor rgb="FFFFC7CE"/>
        </patternFill>
      </fill>
    </dxf>
    <dxf>
      <font>
        <name val="Calibri"/>
        <b val="1"/>
        <color rgb="00006100"/>
        <sz val="14"/>
      </font>
      <fill>
        <patternFill patternType="solid">
          <fgColor rgb="FF92D050"/>
          <bgColor rgb="FF92D050"/>
        </patternFill>
      </fill>
    </dxf>
    <dxf>
      <font>
        <b val="1"/>
        <color rgb="00FFFFFF"/>
        <sz val="16"/>
      </font>
      <fill>
        <patternFill patternType="solid">
          <fgColor rgb="FF1A3450"/>
          <bgColor rgb="FF1A3450"/>
        </patternFill>
      </fill>
    </dxf>
    <dxf>
      <font>
        <b val="1"/>
        <color rgb="00FFFFFF"/>
        <sz val="14"/>
      </font>
      <fill>
        <patternFill patternType="solid">
          <fgColor rgb="FF1A3450"/>
          <bgColor rgb="FF1A34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A3450"/>
    <outlinePr summaryBelow="1" summaryRight="1"/>
    <pageSetUpPr/>
  </sheetPr>
  <dimension ref="A1:I94"/>
  <sheetViews>
    <sheetView workbookViewId="0">
      <pane ySplit="5" topLeftCell="A62" activePane="bottomLeft" state="frozen"/>
      <selection pane="bottomLeft" activeCell="G74" sqref="G74"/>
    </sheetView>
  </sheetViews>
  <sheetFormatPr baseColWidth="8" defaultRowHeight="15"/>
  <cols>
    <col width="40" customWidth="1" style="42" min="1" max="1"/>
    <col width="12" bestFit="1" customWidth="1" style="42" min="2" max="2"/>
    <col width="15" bestFit="1" customWidth="1" style="42" min="3" max="3"/>
    <col width="24" customWidth="1" style="42" min="4" max="5"/>
    <col width="17" customWidth="1" style="42" min="5" max="5"/>
    <col width="40" customWidth="1" style="42" min="6" max="6"/>
    <col width="37" customWidth="1" style="42" min="7" max="7"/>
    <col width="16" customWidth="1" style="42" min="8" max="8"/>
    <col width="12" customWidth="1" style="42" min="9" max="9"/>
  </cols>
  <sheetData>
    <row r="1" ht="28.5" customHeight="1" s="42">
      <c r="A1" s="32" t="inlineStr">
        <is>
          <t>📊 MASTER DATA — 비용 파라미터 (수정 시 전 시트 자동 반영)</t>
        </is>
      </c>
    </row>
    <row r="2">
      <c r="A2" s="37" t="inlineStr">
        <is>
          <t>⚠️ 🟡노란색=직접입력 | 🔵파란색=자동계산 | ⬜빈칸=신규항목 추가용</t>
        </is>
      </c>
    </row>
    <row r="3">
      <c r="A3" s="37" t="inlineStr">
        <is>
          <t xml:space="preserve">    새 코스·호텔·편명 추가는 빈칸에 직접 입력 → 자동으로 드롭다운에 반영</t>
        </is>
      </c>
    </row>
    <row r="5">
      <c r="A5" s="31" t="inlineStr">
        <is>
          <t>⛳ GOLF COURSES (1인 1라운드, USD)</t>
        </is>
      </c>
      <c r="B5" s="44" t="n"/>
      <c r="C5" s="44" t="n"/>
      <c r="D5" s="44" t="n"/>
      <c r="E5" s="44" t="n"/>
      <c r="F5" s="44" t="n"/>
      <c r="G5" s="45" t="n"/>
    </row>
    <row r="6" ht="30.75" customHeight="1" s="42">
      <c r="A6" s="2" t="inlineStr">
        <is>
          <t>Course</t>
        </is>
      </c>
      <c r="B6" s="2" t="inlineStr">
        <is>
          <t>Cost ($)</t>
        </is>
      </c>
      <c r="C6" s="2" t="inlineStr">
        <is>
          <t>Sell ($)</t>
        </is>
      </c>
      <c r="D6" s="146" t="inlineStr">
        <is>
          <t>Margin $</t>
        </is>
      </c>
      <c r="E6" s="146" t="inlineStr">
        <is>
          <t>Margin %</t>
        </is>
      </c>
      <c r="F6" s="2" t="inlineStr">
        <is>
          <t>Margin %</t>
        </is>
      </c>
      <c r="G6" s="2" t="n"/>
      <c r="H6" s="146" t="inlineStr">
        <is>
          <t>Charge</t>
        </is>
      </c>
    </row>
    <row r="7">
      <c r="A7" s="70" t="inlineStr">
        <is>
          <t>Hidden Valley GC</t>
        </is>
      </c>
      <c r="B7" s="71" t="n">
        <v>109</v>
      </c>
      <c r="C7" s="71" t="n">
        <v>109</v>
      </c>
      <c r="D7" s="5">
        <f>IF(A7="","",C7-B7)</f>
        <v/>
      </c>
      <c r="E7" s="137">
        <f>IF(A7="","",IF(C7&gt;0,(C7-B7)/C7,0))</f>
        <v/>
      </c>
      <c r="F7" s="6" t="n">
        <v>45</v>
      </c>
      <c r="G7" t="inlineStr">
        <is>
          <t>teeitup.com | 9Stamps=1free | Replay twilight</t>
        </is>
      </c>
      <c r="H7" t="inlineStr">
        <is>
          <t>Per Person</t>
        </is>
      </c>
    </row>
    <row r="8">
      <c r="A8" s="70" t="inlineStr">
        <is>
          <t>Sandpiper GC</t>
        </is>
      </c>
      <c r="B8" s="71" t="n">
        <v>130</v>
      </c>
      <c r="C8" s="71" t="n">
        <v>130</v>
      </c>
      <c r="D8" s="5">
        <f>IF(A8="","",C8-B8)</f>
        <v/>
      </c>
      <c r="E8" s="137">
        <f>IF(A8="","",IF(C8&gt;0,(C8-B8)/C8,0))</f>
        <v/>
      </c>
      <c r="F8" s="6" t="n">
        <v>120</v>
      </c>
      <c r="G8" t="inlineStr">
        <is>
          <t>UnderPar deal | Replay FREE | Non-Resident</t>
        </is>
      </c>
      <c r="H8" t="inlineStr">
        <is>
          <t>Per Person</t>
        </is>
      </c>
    </row>
    <row r="9" ht="30.75" customHeight="1" s="42">
      <c r="A9" s="70" t="inlineStr">
        <is>
          <t>Trump National LA</t>
        </is>
      </c>
      <c r="B9" s="71" t="n">
        <v>210</v>
      </c>
      <c r="C9" s="71" t="n">
        <v>210</v>
      </c>
      <c r="D9" s="5">
        <f>IF(A9="","",C9-B9)</f>
        <v/>
      </c>
      <c r="E9" s="137">
        <f>IF(A9="","",IF(C9&gt;0,(C9-B9)/C9,0))</f>
        <v/>
      </c>
      <c r="F9" s="6" t="n">
        <v>111</v>
      </c>
      <c r="G9" t="inlineStr">
        <is>
          <t>Member guest | Cart incl. | Replay ~50%</t>
        </is>
      </c>
      <c r="H9" t="inlineStr">
        <is>
          <t>Per Person</t>
        </is>
      </c>
    </row>
    <row r="10">
      <c r="A10" s="40" t="n"/>
      <c r="B10" s="4" t="n"/>
      <c r="C10" s="4" t="n"/>
      <c r="D10" s="5">
        <f>IF(A10="","",C10-B10)</f>
        <v/>
      </c>
      <c r="E10" s="137">
        <f>IF(A10="","",IF(C10&gt;0,(C10-B10)/C10,0))</f>
        <v/>
      </c>
      <c r="F10" s="6" t="n"/>
    </row>
    <row r="11">
      <c r="A11" s="40" t="n"/>
      <c r="B11" s="4" t="n"/>
      <c r="C11" s="4" t="n"/>
      <c r="D11" s="5">
        <f>IF(A11="","",C11-B11)</f>
        <v/>
      </c>
      <c r="E11" s="137">
        <f>IF(A11="","",IF(C11&gt;0,(C11-B11)/C11,0))</f>
        <v/>
      </c>
      <c r="F11" s="6" t="n"/>
    </row>
    <row r="12">
      <c r="A12" s="40" t="n"/>
      <c r="B12" s="4" t="n"/>
      <c r="C12" s="4" t="n"/>
      <c r="D12" s="5">
        <f>IF(A12="","",C12-B12)</f>
        <v/>
      </c>
      <c r="E12" s="137">
        <f>IF(A12="","",IF(C12&gt;0,(C12-B12)/C12,0))</f>
        <v/>
      </c>
      <c r="F12" s="6" t="n"/>
    </row>
    <row r="13">
      <c r="A13" s="40" t="n"/>
      <c r="B13" s="4" t="n"/>
      <c r="C13" s="4" t="n"/>
      <c r="D13" s="5">
        <f>IF(A13="","",C13-B13)</f>
        <v/>
      </c>
      <c r="E13" s="137">
        <f>IF(A13="","",IF(C13&gt;0,(C13-B13)/C13,0))</f>
        <v/>
      </c>
      <c r="F13" s="6" t="n"/>
    </row>
    <row r="14">
      <c r="A14" s="40" t="n"/>
      <c r="B14" s="4" t="n"/>
      <c r="C14" s="4" t="n"/>
      <c r="D14" s="5">
        <f>IF(A14="","",C14-B14)</f>
        <v/>
      </c>
      <c r="E14" s="137">
        <f>IF(A14="","",IF(C14&gt;0,(C14-B14)/C14,0))</f>
        <v/>
      </c>
      <c r="F14" s="6" t="n"/>
    </row>
    <row r="17">
      <c r="A17" s="31" t="inlineStr">
        <is>
          <t>🏨 HOTEL (1인 1박, Double Occupancy, USD)</t>
        </is>
      </c>
      <c r="B17" s="44" t="n"/>
      <c r="C17" s="44" t="n"/>
      <c r="D17" s="44" t="n"/>
      <c r="E17" s="44" t="n"/>
      <c r="F17" s="44" t="n"/>
      <c r="G17" s="45" t="n"/>
    </row>
    <row r="18">
      <c r="A18" s="2" t="inlineStr">
        <is>
          <t>Hotel</t>
        </is>
      </c>
      <c r="B18" s="2" t="inlineStr">
        <is>
          <t>Cost/night</t>
        </is>
      </c>
      <c r="C18" s="2" t="inlineStr">
        <is>
          <t>Sell/night</t>
        </is>
      </c>
      <c r="D18" s="146" t="inlineStr">
        <is>
          <t>Margin $</t>
        </is>
      </c>
      <c r="E18" s="146" t="inlineStr">
        <is>
          <t>Margin %</t>
        </is>
      </c>
      <c r="F18" s="2" t="inlineStr">
        <is>
          <t>Margin %</t>
        </is>
      </c>
      <c r="G18" s="2" t="n"/>
    </row>
    <row r="19" ht="16.5" customHeight="1" s="42">
      <c r="A19" s="70" t="inlineStr">
        <is>
          <t>Beverly Wilshire (5★) / Same Tier</t>
        </is>
      </c>
      <c r="B19" s="71" t="n">
        <v>275</v>
      </c>
      <c r="C19" s="71" t="n">
        <v>375</v>
      </c>
      <c r="D19" s="5">
        <f>IF(A19="","",C19-B19)</f>
        <v/>
      </c>
      <c r="E19" s="137">
        <f>IF(A19="","",IF(C19&gt;0,(C19-B19)/C19,0))</f>
        <v/>
      </c>
      <c r="F19" s="6" t="n"/>
      <c r="G19" t="inlineStr">
        <is>
          <t>$550/room ÷ 2 persons</t>
        </is>
      </c>
    </row>
    <row r="20">
      <c r="A20" s="40" t="n"/>
      <c r="B20" s="4" t="n"/>
      <c r="C20" s="4" t="n"/>
      <c r="D20" s="5">
        <f>IF(A20="","",C20-B20)</f>
        <v/>
      </c>
      <c r="E20" s="137">
        <f>IF(A20="","",IF(C20&gt;0,(C20-B20)/C20,0))</f>
        <v/>
      </c>
      <c r="F20" s="6" t="n"/>
    </row>
    <row r="21">
      <c r="A21" s="40" t="n"/>
      <c r="B21" s="4" t="n"/>
      <c r="C21" s="4" t="n"/>
      <c r="D21" s="5">
        <f>IF(A21="","",C21-B21)</f>
        <v/>
      </c>
      <c r="E21" s="137">
        <f>IF(A21="","",IF(C21&gt;0,(C21-B21)/C21,0))</f>
        <v/>
      </c>
      <c r="F21" s="6" t="n"/>
    </row>
    <row r="22">
      <c r="A22" s="40" t="n"/>
      <c r="B22" s="4" t="n"/>
      <c r="C22" s="4" t="n"/>
      <c r="D22" s="5">
        <f>IF(A22="","",C22-B22)</f>
        <v/>
      </c>
      <c r="E22" s="137">
        <f>IF(A22="","",IF(C22&gt;0,(C22-B22)/C22,0))</f>
        <v/>
      </c>
      <c r="F22" s="6" t="n"/>
    </row>
    <row r="23">
      <c r="A23" s="40" t="n"/>
      <c r="B23" s="4" t="n"/>
      <c r="C23" s="4" t="n"/>
      <c r="D23" s="5">
        <f>IF(A23="","",C23-B23)</f>
        <v/>
      </c>
      <c r="E23" s="137">
        <f>IF(A23="","",IF(C23&gt;0,(C23-B23)/C23,0))</f>
        <v/>
      </c>
      <c r="F23" s="6" t="n"/>
    </row>
    <row r="24">
      <c r="A24" s="40" t="n"/>
      <c r="B24" s="4" t="n"/>
      <c r="C24" s="4" t="n"/>
      <c r="D24" s="5">
        <f>IF(A24="","",C24-B24)</f>
        <v/>
      </c>
      <c r="E24" s="137">
        <f>IF(A24="","",IF(C24&gt;0,(C24-B24)/C24,0))</f>
        <v/>
      </c>
      <c r="F24" s="6" t="n"/>
    </row>
    <row r="25">
      <c r="E25" s="137">
        <f>IF(A25="","",IF(C25&gt;0,(C25-B25)/C25,0))</f>
        <v/>
      </c>
    </row>
    <row r="26">
      <c r="A26" s="31" t="inlineStr">
        <is>
          <t>🚐 TRANSPORT (1인 기준, 4인 1조, USD)</t>
        </is>
      </c>
      <c r="B26" s="44" t="n"/>
      <c r="C26" s="44" t="n"/>
      <c r="D26" s="44" t="n"/>
      <c r="E26" s="44" t="n"/>
      <c r="F26" s="44" t="n"/>
      <c r="G26" s="45" t="n"/>
    </row>
    <row r="27">
      <c r="A27" s="2" t="inlineStr">
        <is>
          <t>Item</t>
        </is>
      </c>
      <c r="B27" s="2" t="inlineStr">
        <is>
          <t>Cost/p</t>
        </is>
      </c>
      <c r="C27" s="2" t="inlineStr">
        <is>
          <t>Sell/p</t>
        </is>
      </c>
      <c r="D27" s="146" t="inlineStr">
        <is>
          <t>Margin $</t>
        </is>
      </c>
      <c r="E27" s="146" t="inlineStr">
        <is>
          <t>Margin %</t>
        </is>
      </c>
      <c r="F27" s="2" t="inlineStr">
        <is>
          <t>Margin %</t>
        </is>
      </c>
      <c r="G27" s="2" t="n"/>
      <c r="H27" s="146" t="inlineStr">
        <is>
          <t>Charge</t>
        </is>
      </c>
    </row>
    <row r="28" ht="16.5" customHeight="1" s="42">
      <c r="A28" s="70" t="inlineStr">
        <is>
          <t>Airport Roundtrip Pickup</t>
        </is>
      </c>
      <c r="B28" s="71" t="n">
        <v>75</v>
      </c>
      <c r="C28" s="71" t="n">
        <v>120</v>
      </c>
      <c r="D28" s="5">
        <f>IF(A28="","",C28-B28)</f>
        <v/>
      </c>
      <c r="E28" s="137">
        <f>IF(A28="","",IF(C28&gt;0,(C28-B28)/C28,0))</f>
        <v/>
      </c>
      <c r="F28" s="6" t="n"/>
      <c r="G28" t="inlineStr">
        <is>
          <t>$500/day ÷ 4p | Driver=Guide</t>
        </is>
      </c>
      <c r="H28" t="inlineStr">
        <is>
          <t>Per Group</t>
        </is>
      </c>
    </row>
    <row r="29">
      <c r="A29" s="70" t="inlineStr">
        <is>
          <t>Driver/Guide + Van (일당)</t>
        </is>
      </c>
      <c r="B29" s="71" t="n">
        <v>125</v>
      </c>
      <c r="C29" s="71" t="n">
        <v>175</v>
      </c>
      <c r="D29" s="5">
        <f>IF(A29="","",C29-B29)</f>
        <v/>
      </c>
      <c r="E29" s="137">
        <f>IF(A29="","",IF(C29&gt;0,(C29-B29)/C29,0))</f>
        <v/>
      </c>
      <c r="F29" s="6" t="n"/>
      <c r="G29" t="inlineStr">
        <is>
          <t>LAX ↔ Hotel, per person</t>
        </is>
      </c>
      <c r="H29" t="inlineStr">
        <is>
          <t>Per Person</t>
        </is>
      </c>
    </row>
    <row r="30">
      <c r="A30" s="40" t="n"/>
      <c r="B30" s="4" t="n"/>
      <c r="C30" s="4" t="n"/>
      <c r="D30" s="5">
        <f>IF(A30="","",C30-B30)</f>
        <v/>
      </c>
      <c r="E30" s="137">
        <f>IF(A30="","",IF(C30&gt;0,(C30-B30)/C30,0))</f>
        <v/>
      </c>
      <c r="F30" s="6" t="n"/>
    </row>
    <row r="31">
      <c r="A31" s="40" t="n"/>
      <c r="B31" s="4" t="n"/>
      <c r="C31" s="4" t="n"/>
      <c r="D31" s="5">
        <f>IF(A31="","",C31-B31)</f>
        <v/>
      </c>
      <c r="E31" s="137">
        <f>IF(A31="","",IF(C31&gt;0,(C31-B31)/C31,0))</f>
        <v/>
      </c>
      <c r="F31" s="6" t="n"/>
    </row>
    <row r="32">
      <c r="A32" s="40" t="n"/>
      <c r="B32" s="4" t="n"/>
      <c r="C32" s="4" t="n"/>
      <c r="D32" s="5">
        <f>IF(A32="","",C32-B32)</f>
        <v/>
      </c>
      <c r="E32" s="137">
        <f>IF(A32="","",IF(C32&gt;0,(C32-B32)/C32,0))</f>
        <v/>
      </c>
      <c r="F32" s="6" t="n"/>
    </row>
    <row r="33">
      <c r="A33" s="40" t="n"/>
      <c r="B33" s="4" t="n"/>
      <c r="C33" s="4" t="n"/>
      <c r="D33" s="5">
        <f>IF(A33="","",C33-B33)</f>
        <v/>
      </c>
      <c r="E33" s="137">
        <f>IF(A33="","",IF(C33&gt;0,(C33-B33)/C33,0))</f>
        <v/>
      </c>
      <c r="F33" s="6" t="n"/>
    </row>
    <row r="34">
      <c r="A34" s="40" t="n"/>
      <c r="B34" s="4" t="n"/>
      <c r="C34" s="4" t="n"/>
      <c r="D34" s="5">
        <f>IF(A34="","",C34-B34)</f>
        <v/>
      </c>
      <c r="E34" s="137">
        <f>IF(A34="","",IF(C34&gt;0,(C34-B34)/C34,0))</f>
        <v/>
      </c>
      <c r="F34" s="6" t="n"/>
    </row>
    <row r="35">
      <c r="E35" s="137">
        <f>IF(A35="","",IF(C35&gt;0,(C35-B35)/C35,0))</f>
        <v/>
      </c>
    </row>
    <row r="36">
      <c r="A36" s="31" t="inlineStr">
        <is>
          <t>🍽️ MEALS (1인 1끼, USD)</t>
        </is>
      </c>
      <c r="B36" s="44" t="n"/>
      <c r="C36" s="44" t="n"/>
      <c r="D36" s="44" t="n"/>
      <c r="E36" s="44" t="n"/>
      <c r="F36" s="44" t="n"/>
      <c r="G36" s="45" t="n"/>
    </row>
    <row r="37">
      <c r="A37" s="2" t="inlineStr">
        <is>
          <t>Meal</t>
        </is>
      </c>
      <c r="B37" s="2" t="inlineStr">
        <is>
          <t>Cost</t>
        </is>
      </c>
      <c r="C37" s="2" t="inlineStr">
        <is>
          <t>Sell</t>
        </is>
      </c>
      <c r="D37" s="146" t="inlineStr">
        <is>
          <t>Margin $</t>
        </is>
      </c>
      <c r="E37" s="146" t="inlineStr">
        <is>
          <t>Margin %</t>
        </is>
      </c>
      <c r="F37" s="2" t="inlineStr">
        <is>
          <t>Margin %</t>
        </is>
      </c>
      <c r="G37" s="2" t="n"/>
    </row>
    <row r="38">
      <c r="A38" s="70" t="inlineStr">
        <is>
          <t>Breakfast (Hotel)</t>
        </is>
      </c>
      <c r="B38" s="71" t="n">
        <v>30</v>
      </c>
      <c r="C38" s="71" t="n">
        <v>45</v>
      </c>
      <c r="D38" s="5">
        <f>IF(A38="","",C38-B38)</f>
        <v/>
      </c>
      <c r="E38" s="137">
        <f>IF(A38="","",IF(C38&gt;0,(C38-B38)/C38,0))</f>
        <v/>
      </c>
      <c r="F38" s="6" t="n"/>
      <c r="G38" t="inlineStr">
        <is>
          <t>Daily included</t>
        </is>
      </c>
    </row>
    <row r="39">
      <c r="A39" s="70" t="inlineStr">
        <is>
          <t>Dinner (Regular)</t>
        </is>
      </c>
      <c r="B39" s="71" t="n">
        <v>80</v>
      </c>
      <c r="C39" s="71" t="n">
        <v>120</v>
      </c>
      <c r="D39" s="5">
        <f>IF(A39="","",C39-B39)</f>
        <v/>
      </c>
      <c r="E39" s="137">
        <f>IF(A39="","",IF(C39&gt;0,(C39-B39)/C39,0))</f>
        <v/>
      </c>
      <c r="F39" s="6" t="n"/>
      <c r="G39" t="inlineStr">
        <is>
          <t>Daily included</t>
        </is>
      </c>
    </row>
    <row r="40">
      <c r="A40" s="70" t="inlineStr">
        <is>
          <t>Exclusive Dinner (Michelin/Fine)</t>
        </is>
      </c>
      <c r="B40" s="71" t="n">
        <v>120</v>
      </c>
      <c r="C40" s="71" t="n">
        <v>180</v>
      </c>
      <c r="D40" s="5">
        <f>IF(A40="","",C40-B40)</f>
        <v/>
      </c>
      <c r="E40" s="137">
        <f>IF(A40="","",IF(C40&gt;0,(C40-B40)/C40,0))</f>
        <v/>
      </c>
      <c r="F40" s="6" t="n"/>
      <c r="G40" t="inlineStr">
        <is>
          <t>Regular dinner</t>
        </is>
      </c>
    </row>
    <row r="41">
      <c r="A41" s="70" t="inlineStr">
        <is>
          <t>Lunch</t>
        </is>
      </c>
      <c r="B41" s="71" t="n">
        <v>40</v>
      </c>
      <c r="C41" s="71" t="n">
        <v>60</v>
      </c>
      <c r="D41" s="5">
        <f>IF(A41="","",C41-B41)</f>
        <v/>
      </c>
      <c r="E41" s="137">
        <f>IF(A41="","",IF(C41&gt;0,(C41-B41)/C41,0))</f>
        <v/>
      </c>
      <c r="F41" s="6" t="n"/>
      <c r="G41" t="inlineStr">
        <is>
          <t>2x per trip</t>
        </is>
      </c>
    </row>
    <row r="42">
      <c r="A42" s="40" t="n"/>
      <c r="B42" s="4" t="n"/>
      <c r="C42" s="4" t="n"/>
      <c r="D42" s="5">
        <f>IF(A42="","",C42-B42)</f>
        <v/>
      </c>
      <c r="E42" s="137">
        <f>IF(A42="","",IF(C42&gt;0,(C42-B42)/C42,0))</f>
        <v/>
      </c>
      <c r="F42" s="6" t="n"/>
    </row>
    <row r="43">
      <c r="A43" s="40" t="n"/>
      <c r="B43" s="4" t="n"/>
      <c r="C43" s="4" t="n"/>
      <c r="D43" s="5">
        <f>IF(A43="","",C43-B43)</f>
        <v/>
      </c>
      <c r="E43" s="137">
        <f>IF(A43="","",IF(C43&gt;0,(C43-B43)/C43,0))</f>
        <v/>
      </c>
      <c r="F43" s="6" t="n"/>
    </row>
    <row r="44">
      <c r="A44" s="40" t="n"/>
      <c r="B44" s="4" t="n"/>
      <c r="C44" s="4" t="n"/>
      <c r="D44" s="5">
        <f>IF(A44="","",C44-B44)</f>
        <v/>
      </c>
      <c r="E44" s="137">
        <f>IF(A44="","",IF(C44&gt;0,(C44-B44)/C44,0))</f>
        <v/>
      </c>
      <c r="F44" s="6" t="n"/>
    </row>
    <row r="45">
      <c r="A45" s="40" t="n"/>
      <c r="B45" s="4" t="n"/>
      <c r="C45" s="4" t="n"/>
      <c r="D45" s="5">
        <f>IF(A45="","",C45-B45)</f>
        <v/>
      </c>
      <c r="E45" s="137">
        <f>IF(A45="","",IF(C45&gt;0,(C45-B45)/C45,0))</f>
        <v/>
      </c>
      <c r="F45" s="6" t="n"/>
    </row>
    <row r="46">
      <c r="A46" s="40" t="n"/>
      <c r="B46" s="4" t="n"/>
      <c r="C46" s="4" t="n"/>
      <c r="D46" s="5">
        <f>IF(A46="","",C46-B46)</f>
        <v/>
      </c>
      <c r="F46" s="6" t="n"/>
    </row>
    <row r="48">
      <c r="A48" s="31" t="inlineStr">
        <is>
          <t>📦 OTHER (1인 1일, USD)</t>
        </is>
      </c>
      <c r="B48" s="44" t="n"/>
      <c r="C48" s="44" t="n"/>
      <c r="D48" s="44" t="n"/>
      <c r="E48" s="44" t="n"/>
      <c r="F48" s="44" t="n"/>
      <c r="G48" s="45" t="n"/>
    </row>
    <row r="49">
      <c r="A49" s="2" t="inlineStr">
        <is>
          <t>Item</t>
        </is>
      </c>
      <c r="B49" s="2" t="inlineStr">
        <is>
          <t>Cost</t>
        </is>
      </c>
      <c r="C49" s="2" t="inlineStr">
        <is>
          <t>Sell</t>
        </is>
      </c>
      <c r="D49" s="146" t="inlineStr">
        <is>
          <t>Margin $</t>
        </is>
      </c>
      <c r="E49" s="146" t="inlineStr">
        <is>
          <t>Margin %</t>
        </is>
      </c>
      <c r="F49" s="2" t="inlineStr">
        <is>
          <t>Margin %</t>
        </is>
      </c>
      <c r="G49" s="2" t="n"/>
    </row>
    <row r="50">
      <c r="A50" s="70" t="inlineStr">
        <is>
          <t>Insurance / Tips / Contingency</t>
        </is>
      </c>
      <c r="B50" s="71" t="n">
        <v>50</v>
      </c>
      <c r="C50" s="71" t="n">
        <v>75</v>
      </c>
      <c r="D50" s="5">
        <f>IF(A50="","",C50-B50)</f>
        <v/>
      </c>
      <c r="E50" s="137">
        <f>IF(A50="","",IF(C50&gt;0,(C50-B50)/C50,0))</f>
        <v/>
      </c>
      <c r="F50" s="6" t="n"/>
      <c r="G50" t="inlineStr">
        <is>
          <t>Per person per day</t>
        </is>
      </c>
    </row>
    <row r="51">
      <c r="A51" s="40" t="n"/>
      <c r="B51" s="4" t="n"/>
      <c r="C51" s="4" t="n"/>
      <c r="D51" s="5">
        <f>IF(A51="","",C51-B51)</f>
        <v/>
      </c>
      <c r="E51" s="137">
        <f>IF(A51="","",IF(C51&gt;0,(C51-B51)/C51,0))</f>
        <v/>
      </c>
      <c r="F51" s="6" t="n"/>
    </row>
    <row r="52">
      <c r="A52" s="40" t="n"/>
      <c r="B52" s="4" t="n"/>
      <c r="C52" s="4" t="n"/>
      <c r="D52" s="5">
        <f>IF(A52="","",C52-B52)</f>
        <v/>
      </c>
      <c r="E52" s="137">
        <f>IF(A52="","",IF(C52&gt;0,(C52-B52)/C52,0))</f>
        <v/>
      </c>
      <c r="F52" s="6" t="n"/>
    </row>
    <row r="53">
      <c r="A53" s="40" t="n"/>
      <c r="B53" s="4" t="n"/>
      <c r="C53" s="4" t="n"/>
      <c r="D53" s="5">
        <f>IF(A53="","",C53-B53)</f>
        <v/>
      </c>
      <c r="E53" s="137">
        <f>IF(A53="","",IF(C53&gt;0,(C53-B53)/C53,0))</f>
        <v/>
      </c>
      <c r="F53" s="6" t="n"/>
    </row>
    <row r="54">
      <c r="A54" s="40" t="n"/>
      <c r="B54" s="4" t="n"/>
      <c r="C54" s="4" t="n"/>
      <c r="D54" s="5">
        <f>IF(A54="","",C54-B54)</f>
        <v/>
      </c>
      <c r="E54" s="137">
        <f>IF(A54="","",IF(C54&gt;0,(C54-B54)/C54,0))</f>
        <v/>
      </c>
      <c r="F54" s="6" t="n"/>
    </row>
    <row r="55">
      <c r="A55" s="40" t="n"/>
      <c r="B55" s="4" t="n"/>
      <c r="C55" s="4" t="n"/>
      <c r="D55" s="5">
        <f>IF(A55="","",C55-B55)</f>
        <v/>
      </c>
      <c r="E55" s="137">
        <f>IF(A55="","",IF(C55&gt;0,(C55-B55)/C55,0))</f>
        <v/>
      </c>
      <c r="F55" s="6" t="n"/>
    </row>
    <row r="56">
      <c r="E56" s="137">
        <f>IF(A56="","",IF(C56&gt;0,(C56-B56)/C56,0))</f>
        <v/>
      </c>
    </row>
    <row r="57">
      <c r="E57" s="137">
        <f>IF(A57="","",IF(C57&gt;0,(C57-B57)/C57,0))</f>
        <v/>
      </c>
    </row>
    <row r="58">
      <c r="A58" s="31" t="inlineStr">
        <is>
          <t>✈️ FLIGHT SCHEDULE — ICN ↔ LAX (현지시간 기준)</t>
        </is>
      </c>
      <c r="B58" s="44" t="n"/>
      <c r="C58" s="44" t="n"/>
      <c r="D58" s="44" t="n"/>
      <c r="E58" s="44" t="n"/>
      <c r="F58" s="44" t="n"/>
      <c r="G58" s="45" t="n"/>
    </row>
    <row r="59" ht="34.5" customHeight="1" s="42">
      <c r="A59" s="2" t="inlineStr">
        <is>
          <t>Flight#</t>
        </is>
      </c>
      <c r="B59" s="2" t="inlineStr">
        <is>
          <t>Airline</t>
        </is>
      </c>
      <c r="C59" s="2" t="inlineStr">
        <is>
          <t>Dep Time (출발)</t>
        </is>
      </c>
      <c r="D59" s="2" t="inlineStr">
        <is>
          <t>Arr Time (도착)</t>
        </is>
      </c>
      <c r="E59" s="2" t="inlineStr">
        <is>
          <t>Direction</t>
        </is>
      </c>
      <c r="F59" s="2" t="inlineStr">
        <is>
          <t>Notes</t>
        </is>
      </c>
      <c r="G59" s="46" t="inlineStr">
        <is>
          <t>Seat Class</t>
        </is>
      </c>
      <c r="H59" s="46" t="inlineStr">
        <is>
          <t>Duration (hrs)</t>
        </is>
      </c>
      <c r="I59" s="46" t="inlineStr">
        <is>
          <t>Aircraft</t>
        </is>
      </c>
    </row>
    <row r="60">
      <c r="A60" s="70" t="inlineStr">
        <is>
          <t>KE011</t>
        </is>
      </c>
      <c r="B60" s="72" t="inlineStr">
        <is>
          <t>Korean Air</t>
        </is>
      </c>
      <c r="C60" s="72" t="inlineStr">
        <is>
          <t>19:40</t>
        </is>
      </c>
      <c r="D60" s="72" t="inlineStr">
        <is>
          <t>14:30</t>
        </is>
      </c>
      <c r="E60" s="72" t="inlineStr">
        <is>
          <t>ICN→LAX</t>
        </is>
      </c>
      <c r="F60" s="72" t="inlineStr">
        <is>
          <t>Daily B747-8</t>
        </is>
      </c>
      <c r="G60" s="73" t="inlineStr">
        <is>
          <t>First | Prestige | Economy</t>
        </is>
      </c>
      <c r="H60" s="73" t="inlineStr">
        <is>
          <t>~11.5</t>
        </is>
      </c>
      <c r="I60" s="73" t="inlineStr">
        <is>
          <t>B747-8</t>
        </is>
      </c>
    </row>
    <row r="61">
      <c r="A61" s="70" t="inlineStr">
        <is>
          <t>KE017</t>
        </is>
      </c>
      <c r="B61" s="72" t="inlineStr">
        <is>
          <t>Korean Air</t>
        </is>
      </c>
      <c r="C61" s="72" t="inlineStr">
        <is>
          <t>14:30</t>
        </is>
      </c>
      <c r="D61" s="72" t="inlineStr">
        <is>
          <t>09:20</t>
        </is>
      </c>
      <c r="E61" s="72" t="inlineStr">
        <is>
          <t>ICN→LAX</t>
        </is>
      </c>
      <c r="F61" s="72" t="inlineStr">
        <is>
          <t>Daily B777</t>
        </is>
      </c>
      <c r="G61" s="73" t="inlineStr">
        <is>
          <t>Prestige | Economy</t>
        </is>
      </c>
      <c r="H61" s="73" t="inlineStr">
        <is>
          <t>~11.5</t>
        </is>
      </c>
      <c r="I61" s="73" t="inlineStr">
        <is>
          <t>B777-300ER</t>
        </is>
      </c>
    </row>
    <row r="62">
      <c r="A62" s="70" t="inlineStr">
        <is>
          <t>OZ202</t>
        </is>
      </c>
      <c r="B62" s="72" t="inlineStr">
        <is>
          <t>Asiana</t>
        </is>
      </c>
      <c r="C62" s="72" t="inlineStr">
        <is>
          <t>14:40</t>
        </is>
      </c>
      <c r="D62" s="72" t="inlineStr">
        <is>
          <t>09:30</t>
        </is>
      </c>
      <c r="E62" s="72" t="inlineStr">
        <is>
          <t>ICN→LAX</t>
        </is>
      </c>
      <c r="F62" s="72" t="inlineStr">
        <is>
          <t>Daily A380</t>
        </is>
      </c>
      <c r="G62" s="73" t="inlineStr">
        <is>
          <t>First Suite | Business | Economy</t>
        </is>
      </c>
      <c r="H62" s="73" t="inlineStr">
        <is>
          <t>~11.5</t>
        </is>
      </c>
      <c r="I62" s="73" t="inlineStr">
        <is>
          <t>A380-800</t>
        </is>
      </c>
    </row>
    <row r="63">
      <c r="A63" s="70" t="inlineStr">
        <is>
          <t>OZ204</t>
        </is>
      </c>
      <c r="B63" s="72" t="inlineStr">
        <is>
          <t>Asiana</t>
        </is>
      </c>
      <c r="C63" s="72" t="inlineStr">
        <is>
          <t>20:40</t>
        </is>
      </c>
      <c r="D63" s="72" t="inlineStr">
        <is>
          <t>15:30</t>
        </is>
      </c>
      <c r="E63" s="72" t="inlineStr">
        <is>
          <t>ICN→LAX</t>
        </is>
      </c>
      <c r="F63" s="72" t="inlineStr">
        <is>
          <t>Daily A350</t>
        </is>
      </c>
      <c r="G63" s="73" t="inlineStr">
        <is>
          <t>Business | Economy</t>
        </is>
      </c>
      <c r="H63" s="73" t="inlineStr">
        <is>
          <t>~11.5</t>
        </is>
      </c>
      <c r="I63" s="73" t="inlineStr">
        <is>
          <t>A350-900</t>
        </is>
      </c>
    </row>
    <row r="64">
      <c r="A64" s="40" t="n"/>
      <c r="B64" s="6" t="n"/>
      <c r="C64" s="6" t="n"/>
      <c r="D64" s="6" t="n"/>
      <c r="E64" s="6" t="n"/>
      <c r="F64" s="6" t="n"/>
    </row>
    <row r="65">
      <c r="A65" s="40" t="n"/>
      <c r="B65" s="6" t="n"/>
      <c r="C65" s="6" t="n"/>
      <c r="D65" s="6" t="n"/>
      <c r="E65" s="6" t="n"/>
      <c r="F65" s="6" t="n"/>
    </row>
    <row r="66">
      <c r="A66" s="40" t="n"/>
      <c r="B66" s="6" t="n"/>
      <c r="C66" s="6" t="n"/>
      <c r="D66" s="6" t="n"/>
      <c r="E66" s="6" t="n"/>
      <c r="F66" s="6" t="n"/>
    </row>
    <row r="67">
      <c r="A67" s="40" t="n"/>
      <c r="B67" s="6" t="n"/>
      <c r="C67" s="6" t="n"/>
      <c r="D67" s="6" t="n"/>
      <c r="E67" s="6" t="n"/>
      <c r="F67" s="6" t="n"/>
    </row>
    <row r="68">
      <c r="A68" s="40" t="n"/>
      <c r="B68" s="6" t="n"/>
      <c r="C68" s="6" t="n"/>
      <c r="D68" s="6" t="n"/>
      <c r="E68" s="6" t="n"/>
      <c r="F68" s="6" t="n"/>
    </row>
    <row r="72">
      <c r="A72" s="31" t="inlineStr">
        <is>
          <t>✈️ RETURN FLIGHTS (LAX → ICN)</t>
        </is>
      </c>
      <c r="B72" s="44" t="n"/>
      <c r="C72" s="44" t="n"/>
      <c r="D72" s="44" t="n"/>
      <c r="E72" s="44" t="n"/>
      <c r="F72" s="44" t="n"/>
      <c r="G72" s="45" t="n"/>
    </row>
    <row r="73" ht="34.5" customHeight="1" s="42">
      <c r="A73" s="2" t="inlineStr">
        <is>
          <t>Flight#</t>
        </is>
      </c>
      <c r="B73" s="2" t="inlineStr">
        <is>
          <t>Airline</t>
        </is>
      </c>
      <c r="C73" s="2" t="inlineStr">
        <is>
          <t>Dep Time (출발)</t>
        </is>
      </c>
      <c r="D73" s="2" t="inlineStr">
        <is>
          <t>Arr Time (도착)</t>
        </is>
      </c>
      <c r="E73" s="2" t="inlineStr">
        <is>
          <t>Direction</t>
        </is>
      </c>
      <c r="F73" s="2" t="inlineStr">
        <is>
          <t>Notes</t>
        </is>
      </c>
      <c r="G73" s="46" t="inlineStr">
        <is>
          <t>Seat Class</t>
        </is>
      </c>
      <c r="H73" s="46" t="inlineStr">
        <is>
          <t>Duration (hrs)</t>
        </is>
      </c>
      <c r="I73" s="46" t="inlineStr">
        <is>
          <t>Aircraft</t>
        </is>
      </c>
    </row>
    <row r="74">
      <c r="A74" s="70" t="inlineStr">
        <is>
          <t>KE012</t>
        </is>
      </c>
      <c r="B74" s="72" t="inlineStr">
        <is>
          <t>Korean Air</t>
        </is>
      </c>
      <c r="C74" s="72" t="inlineStr">
        <is>
          <t>23:50</t>
        </is>
      </c>
      <c r="D74" s="72" t="inlineStr">
        <is>
          <t>05:00+2</t>
        </is>
      </c>
      <c r="E74" s="72" t="inlineStr">
        <is>
          <t>LAX→ICN</t>
        </is>
      </c>
      <c r="F74" s="72" t="inlineStr">
        <is>
          <t xml:space="preserve">Daily B747-8 </t>
        </is>
      </c>
      <c r="G74" s="73" t="inlineStr">
        <is>
          <t>First | Prestige | Economy</t>
        </is>
      </c>
      <c r="H74" s="73" t="inlineStr">
        <is>
          <t>~13</t>
        </is>
      </c>
      <c r="I74" s="73" t="inlineStr">
        <is>
          <t>B747-8</t>
        </is>
      </c>
    </row>
    <row r="75">
      <c r="A75" s="70" t="inlineStr">
        <is>
          <t>KE018</t>
        </is>
      </c>
      <c r="B75" s="72" t="inlineStr">
        <is>
          <t>Korean Air</t>
        </is>
      </c>
      <c r="C75" s="72" t="inlineStr">
        <is>
          <t>13:30</t>
        </is>
      </c>
      <c r="D75" s="72" t="inlineStr">
        <is>
          <t>18:40+1</t>
        </is>
      </c>
      <c r="E75" s="72" t="inlineStr">
        <is>
          <t>LAX→ICN</t>
        </is>
      </c>
      <c r="F75" s="72" t="inlineStr">
        <is>
          <t>Daily B777</t>
        </is>
      </c>
      <c r="G75" s="73" t="inlineStr">
        <is>
          <t>Prestige | Economy</t>
        </is>
      </c>
      <c r="H75" s="73" t="inlineStr">
        <is>
          <t>~13</t>
        </is>
      </c>
      <c r="I75" s="73" t="inlineStr">
        <is>
          <t>B777-300ER</t>
        </is>
      </c>
    </row>
    <row r="76">
      <c r="A76" s="70" t="inlineStr">
        <is>
          <t>OZ201</t>
        </is>
      </c>
      <c r="B76" s="72" t="inlineStr">
        <is>
          <t>Asiana</t>
        </is>
      </c>
      <c r="C76" s="72" t="inlineStr">
        <is>
          <t>23:30</t>
        </is>
      </c>
      <c r="D76" s="72" t="inlineStr">
        <is>
          <t>04:30+2</t>
        </is>
      </c>
      <c r="E76" s="72" t="inlineStr">
        <is>
          <t>LAX→ICN</t>
        </is>
      </c>
      <c r="F76" s="72" t="inlineStr">
        <is>
          <t>Daily A380</t>
        </is>
      </c>
      <c r="G76" s="73" t="inlineStr">
        <is>
          <t>First Suite | Business | Economy</t>
        </is>
      </c>
      <c r="H76" s="73" t="inlineStr">
        <is>
          <t>~13</t>
        </is>
      </c>
      <c r="I76" s="73" t="inlineStr">
        <is>
          <t>A380-800</t>
        </is>
      </c>
    </row>
    <row r="77">
      <c r="A77" s="70" t="inlineStr">
        <is>
          <t>OZ203</t>
        </is>
      </c>
      <c r="B77" s="72" t="inlineStr">
        <is>
          <t>Asiana</t>
        </is>
      </c>
      <c r="C77" s="72" t="inlineStr">
        <is>
          <t>13:00</t>
        </is>
      </c>
      <c r="D77" s="72" t="inlineStr">
        <is>
          <t>18:10+1</t>
        </is>
      </c>
      <c r="E77" s="72" t="inlineStr">
        <is>
          <t>LAX→ICN</t>
        </is>
      </c>
      <c r="F77" s="72" t="inlineStr">
        <is>
          <t>Daily A350</t>
        </is>
      </c>
      <c r="G77" s="73" t="inlineStr">
        <is>
          <t>Business | Economy</t>
        </is>
      </c>
      <c r="H77" s="73" t="inlineStr">
        <is>
          <t>~13</t>
        </is>
      </c>
      <c r="I77" s="73" t="inlineStr">
        <is>
          <t>A350-900</t>
        </is>
      </c>
    </row>
    <row r="78">
      <c r="A78" s="40" t="n"/>
      <c r="B78" s="6" t="n"/>
      <c r="C78" s="6" t="n"/>
      <c r="D78" s="6" t="n"/>
      <c r="E78" s="6" t="n"/>
      <c r="F78" s="6" t="n"/>
    </row>
    <row r="79">
      <c r="A79" s="40" t="n"/>
      <c r="B79" s="6" t="n"/>
      <c r="C79" s="6" t="n"/>
      <c r="D79" s="6" t="n"/>
      <c r="E79" s="6" t="n"/>
      <c r="F79" s="6" t="n"/>
    </row>
    <row r="80">
      <c r="A80" s="40" t="n"/>
      <c r="B80" s="6" t="n"/>
      <c r="C80" s="6" t="n"/>
      <c r="D80" s="6" t="n"/>
      <c r="E80" s="6" t="n"/>
      <c r="F80" s="6" t="n"/>
    </row>
    <row r="81">
      <c r="A81" s="40" t="n"/>
      <c r="B81" s="6" t="n"/>
      <c r="C81" s="6" t="n"/>
      <c r="D81" s="6" t="n"/>
      <c r="E81" s="6" t="n"/>
      <c r="F81" s="6" t="n"/>
    </row>
    <row r="82">
      <c r="A82" s="40" t="n"/>
      <c r="B82" s="6" t="n"/>
      <c r="C82" s="6" t="n"/>
      <c r="D82" s="6" t="n"/>
      <c r="E82" s="6" t="n"/>
      <c r="F82" s="6" t="n"/>
    </row>
    <row r="84">
      <c r="A84" s="48" t="inlineStr">
        <is>
          <t>🎯 ACTIVITIES &amp; EXPERIENCES (1인 1회, USD)</t>
        </is>
      </c>
    </row>
    <row r="85">
      <c r="A85" s="46" t="inlineStr">
        <is>
          <t>Activity</t>
        </is>
      </c>
      <c r="B85" s="46" t="inlineStr">
        <is>
          <t>Cost ($)</t>
        </is>
      </c>
      <c r="C85" s="46" t="inlineStr">
        <is>
          <t>Sell ($)</t>
        </is>
      </c>
      <c r="D85" s="146" t="inlineStr">
        <is>
          <t>Margin $</t>
        </is>
      </c>
      <c r="E85" s="146" t="inlineStr">
        <is>
          <t>Margin %</t>
        </is>
      </c>
      <c r="F85" s="46" t="inlineStr">
        <is>
          <t>Margin %</t>
        </is>
      </c>
      <c r="G85" s="46" t="inlineStr">
        <is>
          <t>Notes</t>
        </is>
      </c>
    </row>
    <row r="86">
      <c r="A86" s="74" t="inlineStr">
        <is>
          <t>Beach/Surf Lesson</t>
        </is>
      </c>
      <c r="B86" s="75" t="n">
        <v>60</v>
      </c>
      <c r="C86" s="75" t="n">
        <v>100</v>
      </c>
      <c r="D86" s="147">
        <f>IF(A86="","",C86-B86)</f>
        <v/>
      </c>
      <c r="E86" s="137">
        <f>IF(A86="","",IF(C86&gt;0,(C86-B86)/C86,0))</f>
        <v/>
      </c>
      <c r="F86" s="49" t="n"/>
      <c r="G86" s="49" t="inlineStr">
        <is>
          <t>1p</t>
        </is>
      </c>
    </row>
    <row r="87">
      <c r="A87" s="74" t="inlineStr">
        <is>
          <t>Local Hiking (Griffith/Runyon)</t>
        </is>
      </c>
      <c r="B87" s="75" t="n">
        <v>0</v>
      </c>
      <c r="C87" s="75" t="n">
        <v>30</v>
      </c>
      <c r="D87" s="147">
        <f>IF(A87="","",C87-B87)</f>
        <v/>
      </c>
      <c r="E87" s="137">
        <f>IF(A87="","",IF(C87&gt;0,(C87-B87)/C87,0))</f>
        <v/>
      </c>
      <c r="F87" s="49" t="n"/>
      <c r="G87" s="49" t="inlineStr">
        <is>
          <t>1p</t>
        </is>
      </c>
    </row>
    <row r="88">
      <c r="A88" s="74" t="inlineStr">
        <is>
          <t>NBA/MLB Game (Ticket)</t>
        </is>
      </c>
      <c r="B88" s="75" t="n">
        <v>120</v>
      </c>
      <c r="C88" s="75" t="n">
        <v>180</v>
      </c>
      <c r="D88" s="147">
        <f>IF(A88="","",C88-B88)</f>
        <v/>
      </c>
      <c r="E88" s="137">
        <f>IF(A88="","",IF(C88&gt;0,(C88-B88)/C88,0))</f>
        <v/>
      </c>
      <c r="F88" s="49" t="n"/>
      <c r="G88" s="49" t="inlineStr">
        <is>
          <t>1p</t>
        </is>
      </c>
    </row>
    <row r="89">
      <c r="A89" s="74" t="inlineStr">
        <is>
          <t>Sports Bar Experience</t>
        </is>
      </c>
      <c r="B89" s="75" t="n">
        <v>60</v>
      </c>
      <c r="C89" s="75" t="n">
        <v>90</v>
      </c>
      <c r="D89" s="147">
        <f>IF(A89="","",C89-B89)</f>
        <v/>
      </c>
      <c r="E89" s="137">
        <f>IF(A89="","",IF(C89&gt;0,(C89-B89)/C89,0))</f>
        <v/>
      </c>
      <c r="F89" s="49" t="n"/>
      <c r="G89" s="49" t="inlineStr">
        <is>
          <t>1p</t>
        </is>
      </c>
    </row>
    <row r="90">
      <c r="A90" s="74" t="inlineStr">
        <is>
          <t>(New Activity 9)</t>
        </is>
      </c>
      <c r="B90" s="49" t="n"/>
      <c r="C90" s="49" t="n"/>
      <c r="D90" s="147">
        <f>IF(A90="","",C90-B90)</f>
        <v/>
      </c>
      <c r="E90" s="137">
        <f>IF(A90="","",IF(C90&gt;0,(C90-B90)/C90,0))</f>
        <v/>
      </c>
      <c r="F90" s="49" t="n"/>
      <c r="G90" s="49" t="n"/>
    </row>
    <row r="91">
      <c r="A91" s="74" t="inlineStr">
        <is>
          <t>Beach/Surf Lesson</t>
        </is>
      </c>
      <c r="B91" s="49" t="n">
        <v>60</v>
      </c>
      <c r="C91" s="49" t="n">
        <v>100</v>
      </c>
      <c r="D91" s="147">
        <f>IF(A91="","",C91-B91)</f>
        <v/>
      </c>
      <c r="E91" s="137">
        <f>IF(A91="","",IF(C91&gt;0,(C91-B91)/C91,0))</f>
        <v/>
      </c>
      <c r="F91" s="49" t="n"/>
      <c r="G91" s="49" t="n"/>
    </row>
    <row r="92">
      <c r="A92" s="74" t="inlineStr">
        <is>
          <t>Local Hiking (Griffith/Runyon)</t>
        </is>
      </c>
      <c r="B92" s="49" t="n">
        <v>0</v>
      </c>
      <c r="C92" s="49" t="n">
        <v>30</v>
      </c>
      <c r="D92" s="147">
        <f>IF(A92="","",C92-B92)</f>
        <v/>
      </c>
      <c r="E92" s="137">
        <f>IF(A92="","",IF(C92&gt;0,(C92-B92)/C92,0))</f>
        <v/>
      </c>
      <c r="F92" s="49" t="n"/>
      <c r="G92" s="49" t="n"/>
    </row>
    <row r="93">
      <c r="A93" s="74" t="inlineStr">
        <is>
          <t>NBA/MLB Game (Ticket)</t>
        </is>
      </c>
      <c r="B93" s="49" t="n">
        <v>120</v>
      </c>
      <c r="C93" s="49" t="n">
        <v>180</v>
      </c>
      <c r="D93" s="147">
        <f>IF(A93="","",C93-B93)</f>
        <v/>
      </c>
      <c r="E93" s="137">
        <f>IF(A93="","",IF(C93&gt;0,(C93-B93)/C93,0))</f>
        <v/>
      </c>
      <c r="F93" s="49" t="n"/>
      <c r="G93" s="49" t="n"/>
    </row>
    <row r="94">
      <c r="A94" s="74" t="inlineStr">
        <is>
          <t>Sports Bar Experience</t>
        </is>
      </c>
      <c r="B94" s="49" t="n">
        <v>60</v>
      </c>
      <c r="C94" s="49" t="n">
        <v>90</v>
      </c>
      <c r="D94" s="147">
        <f>IF(A94="","",C94-B94)</f>
        <v/>
      </c>
      <c r="E94" s="49" t="n"/>
      <c r="F94" s="49" t="n"/>
      <c r="G94" s="49" t="n"/>
    </row>
  </sheetData>
  <mergeCells count="9">
    <mergeCell ref="A84:G84"/>
    <mergeCell ref="A36:G36"/>
    <mergeCell ref="A58:G58"/>
    <mergeCell ref="A1:G1"/>
    <mergeCell ref="A17:G17"/>
    <mergeCell ref="A48:G48"/>
    <mergeCell ref="A26:G26"/>
    <mergeCell ref="A72:G72"/>
    <mergeCell ref="A5:G5"/>
  </mergeCells>
  <pageMargins left="0.75" right="0.75" top="1" bottom="1" header="0.5" footer="0.5"/>
</worksheet>
</file>

<file path=xl/worksheets/sheet2.xml><?xml version="1.0" encoding="utf-8"?>
<worksheet xmlns="http://schemas.openxmlformats.org/spreadsheetml/2006/main">
  <sheetPr>
    <tabColor rgb="FFD4AF37"/>
    <outlinePr summaryBelow="1" summaryRight="1"/>
    <pageSetUpPr/>
  </sheetPr>
  <dimension ref="A1:U10"/>
  <sheetViews>
    <sheetView workbookViewId="0">
      <pane ySplit="4" topLeftCell="A5" activePane="bottomLeft" state="frozen"/>
      <selection pane="bottomLeft" activeCell="I5" sqref="I5"/>
    </sheetView>
  </sheetViews>
  <sheetFormatPr baseColWidth="8" defaultRowHeight="15"/>
  <cols>
    <col width="7" customWidth="1" style="42" min="1" max="1"/>
    <col width="3.7109375" bestFit="1" customWidth="1" style="42" min="2" max="2"/>
    <col width="5.7109375" bestFit="1" customWidth="1" style="42" min="3" max="3"/>
    <col width="12" customWidth="1" style="42" min="4" max="4"/>
    <col width="3" bestFit="1" customWidth="1" style="42" min="5" max="6"/>
    <col width="4" bestFit="1" customWidth="1" style="42" min="7" max="7"/>
    <col width="14" customWidth="1" style="42" min="8" max="8"/>
    <col width="6.28515625" bestFit="1" customWidth="1" style="42" min="9" max="9"/>
    <col width="6.140625" bestFit="1" customWidth="1" style="42" min="10" max="10"/>
    <col width="6.28515625" bestFit="1" customWidth="1" style="42" min="11" max="11"/>
    <col width="6.140625" bestFit="1" customWidth="1" style="42" min="12" max="12"/>
    <col width="5.140625" bestFit="1" customWidth="1" style="42" min="13" max="13"/>
    <col width="7.28515625" bestFit="1" customWidth="1" style="42" min="14" max="14"/>
  </cols>
  <sheetData>
    <row r="1" ht="38.25" customHeight="1" s="42">
      <c r="A1" s="32" t="inlineStr">
        <is>
          <t>🎯 결 TOUR — 대표 패키지 (1인 기준, USD | 중복코스 없음)</t>
        </is>
      </c>
    </row>
    <row r="2">
      <c r="A2" s="37" t="inlineStr">
        <is>
          <t>⚠️ 참고용 대표패키지 → 'Package Selector' 시트에서 자유롭게 커스터마이징</t>
        </is>
      </c>
    </row>
    <row r="4" ht="16.5" customHeight="1" s="42">
      <c r="A4" s="76" t="inlineStr">
        <is>
          <t>No</t>
        </is>
      </c>
      <c r="B4" s="76" t="inlineStr">
        <is>
          <t>일정</t>
        </is>
      </c>
      <c r="C4" s="76" t="inlineStr">
        <is>
          <t>패키지명</t>
        </is>
      </c>
      <c r="D4" s="76" t="inlineStr">
        <is>
          <t>박</t>
        </is>
      </c>
      <c r="E4" s="76" t="inlineStr">
        <is>
          <t>일</t>
        </is>
      </c>
      <c r="F4" s="76" t="inlineStr">
        <is>
          <t>Rds</t>
        </is>
      </c>
      <c r="G4" s="76" t="inlineStr">
        <is>
          <t>패키지 구성</t>
        </is>
      </c>
      <c r="H4" s="77" t="inlineStr">
        <is>
          <t>⛳ 골프</t>
        </is>
      </c>
      <c r="I4" s="92" t="n"/>
      <c r="J4" s="92" t="n"/>
      <c r="K4" s="92" t="n"/>
      <c r="L4" s="92" t="n"/>
      <c r="M4" s="92" t="n"/>
      <c r="N4" s="92" t="n"/>
      <c r="O4" s="92" t="n"/>
      <c r="P4" s="77" t="inlineStr">
        <is>
          <t>🍽️ 식사</t>
        </is>
      </c>
      <c r="Q4" s="92" t="n"/>
      <c r="R4" s="77" t="inlineStr">
        <is>
          <t>📦 기타</t>
        </is>
      </c>
      <c r="S4" s="92" t="n"/>
      <c r="T4" s="76" t="inlineStr">
        <is>
          <t>마진</t>
        </is>
      </c>
      <c r="U4" s="76" t="inlineStr">
        <is>
          <t>마진율</t>
        </is>
      </c>
    </row>
    <row r="5" ht="51" customHeight="1" s="42">
      <c r="A5" s="78" t="n"/>
      <c r="B5" s="78" t="n"/>
      <c r="C5" s="78" t="n"/>
      <c r="D5" s="78" t="n"/>
      <c r="E5" s="78" t="n"/>
      <c r="F5" s="78" t="n"/>
      <c r="G5" s="78" t="n"/>
      <c r="H5" s="148" t="inlineStr">
        <is>
          <t>Cost</t>
        </is>
      </c>
      <c r="I5" s="148" t="inlineStr">
        <is>
          <t>Sell</t>
        </is>
      </c>
      <c r="J5" s="148" t="inlineStr">
        <is>
          <t>Cost</t>
        </is>
      </c>
      <c r="K5" s="148" t="inlineStr">
        <is>
          <t>Sell</t>
        </is>
      </c>
      <c r="L5" s="148" t="inlineStr">
        <is>
          <t>Cost</t>
        </is>
      </c>
      <c r="M5" s="148" t="inlineStr">
        <is>
          <t>Sell</t>
        </is>
      </c>
      <c r="N5" s="148" t="inlineStr">
        <is>
          <t>Cost</t>
        </is>
      </c>
      <c r="O5" s="148" t="inlineStr">
        <is>
          <t>Sell</t>
        </is>
      </c>
      <c r="P5" s="148" t="inlineStr">
        <is>
          <t>Cost</t>
        </is>
      </c>
      <c r="Q5" s="148" t="inlineStr">
        <is>
          <t>Sell</t>
        </is>
      </c>
      <c r="R5" s="148" t="inlineStr">
        <is>
          <t>Cost</t>
        </is>
      </c>
      <c r="S5" s="148" t="inlineStr">
        <is>
          <t>Sell</t>
        </is>
      </c>
      <c r="T5" s="148" t="inlineStr"/>
      <c r="U5" s="148" t="inlineStr"/>
    </row>
    <row r="6" ht="51" customHeight="1" s="42">
      <c r="A6" s="6" t="n">
        <v>1</v>
      </c>
      <c r="B6" s="6" t="inlineStr">
        <is>
          <t>3N4D</t>
        </is>
      </c>
      <c r="C6" s="6" t="inlineStr">
        <is>
          <t>트럼프 + 샌드파이퍼 오션뷰</t>
        </is>
      </c>
      <c r="D6" s="6" t="n">
        <v>3</v>
      </c>
      <c r="E6" s="6" t="n">
        <v>4</v>
      </c>
      <c r="F6" s="6" t="n">
        <v>2</v>
      </c>
      <c r="G6" s="6" t="inlineStr">
        <is>
          <t>Trump×1 + Sand×1</t>
        </is>
      </c>
      <c r="H6" s="149" t="inlineStr">
        <is>
          <t>G2·H3·T3·M3B3L3D2Ex·I4</t>
        </is>
      </c>
      <c r="I6" s="5" t="n">
        <v>745</v>
      </c>
      <c r="J6" s="79" t="n">
        <v>0</v>
      </c>
      <c r="K6" s="79" t="n">
        <v>120</v>
      </c>
      <c r="L6" s="5" t="n">
        <v>825</v>
      </c>
      <c r="M6" s="5" t="n">
        <v>1125</v>
      </c>
      <c r="N6" s="79" t="n">
        <v>375</v>
      </c>
      <c r="O6" s="79" t="n">
        <v>525</v>
      </c>
      <c r="P6" s="79" t="n">
        <v>810</v>
      </c>
      <c r="Q6" s="79" t="n">
        <v>1215</v>
      </c>
      <c r="R6" s="79" t="n">
        <v>200</v>
      </c>
      <c r="S6" s="79" t="n">
        <v>300</v>
      </c>
      <c r="T6" s="79">
        <f>(J6+L6+N6+P6+R6+T6)-(I6+K6+M6+O6+Q6+S6)</f>
        <v/>
      </c>
      <c r="U6" s="80">
        <f>IF(J6+L6+N6+P6+R6+T6&gt;0,((J6+L6+N6+P6+R6+T6)-(I6+K6+M6+O6+Q6+S6))/(J6+L6+N6+P6+R6+T6),0)</f>
        <v/>
      </c>
    </row>
    <row r="7" ht="34.5" customHeight="1" s="42">
      <c r="A7" s="6" t="n">
        <v>2</v>
      </c>
      <c r="B7" s="6" t="inlineStr">
        <is>
          <t>3N4D</t>
        </is>
      </c>
      <c r="C7" s="6" t="inlineStr">
        <is>
          <t>트럼프 + 히든밸리 밸리뷰</t>
        </is>
      </c>
      <c r="D7" s="6" t="n">
        <v>3</v>
      </c>
      <c r="E7" s="6" t="n">
        <v>4</v>
      </c>
      <c r="F7" s="6" t="n">
        <v>2</v>
      </c>
      <c r="G7" s="6" t="inlineStr">
        <is>
          <t>Trump×1 + HV×1</t>
        </is>
      </c>
      <c r="H7" s="149" t="inlineStr">
        <is>
          <t>G2·H3·T3·M3B3L3D2Ex·I4</t>
        </is>
      </c>
      <c r="I7" s="5" t="n">
        <v>609</v>
      </c>
      <c r="J7" s="79" t="n">
        <v>45</v>
      </c>
      <c r="K7" s="79" t="n">
        <v>45</v>
      </c>
      <c r="L7" s="5" t="n">
        <v>825</v>
      </c>
      <c r="M7" s="5" t="n">
        <v>1125</v>
      </c>
      <c r="N7" s="79" t="n">
        <v>375</v>
      </c>
      <c r="O7" s="79" t="n">
        <v>525</v>
      </c>
      <c r="P7" s="79" t="n">
        <v>810</v>
      </c>
      <c r="Q7" s="79" t="n">
        <v>1215</v>
      </c>
      <c r="R7" s="79" t="n">
        <v>200</v>
      </c>
      <c r="S7" s="79" t="n">
        <v>300</v>
      </c>
      <c r="T7" s="79">
        <f>(J7+L7+N7+P7+R7+T7)-(I7+K7+M7+O7+Q7+S7)</f>
        <v/>
      </c>
      <c r="U7" s="80">
        <f>IF(J7+L7+N7+P7+R7+T7&gt;0,((J7+L7+N7+P7+R7+T7)-(I7+K7+M7+O7+Q7+S7))/(J7+L7+N7+P7+R7+T7),0)</f>
        <v/>
      </c>
    </row>
    <row r="8">
      <c r="A8" s="6" t="n">
        <v>3</v>
      </c>
      <c r="B8" s="6" t="inlineStr">
        <is>
          <t>3N4D</t>
        </is>
      </c>
      <c r="C8" s="6" t="inlineStr">
        <is>
          <t>샌드파이퍼 + 히든밸리</t>
        </is>
      </c>
      <c r="D8" s="6" t="n">
        <v>3</v>
      </c>
      <c r="E8" s="6" t="n">
        <v>4</v>
      </c>
      <c r="F8" s="6" t="n">
        <v>2</v>
      </c>
      <c r="G8" s="6" t="inlineStr">
        <is>
          <t>Sand×1 + HV×1</t>
        </is>
      </c>
      <c r="H8" s="149" t="inlineStr">
        <is>
          <t>G2·H3·T3·M3B3L3D2Ex·I4</t>
        </is>
      </c>
      <c r="I8" s="5" t="n">
        <v>354</v>
      </c>
      <c r="J8" s="79" t="n">
        <v>45</v>
      </c>
      <c r="K8" s="79" t="n">
        <v>45</v>
      </c>
      <c r="L8" s="5" t="n">
        <v>825</v>
      </c>
      <c r="M8" s="5" t="n">
        <v>1125</v>
      </c>
      <c r="N8" s="79" t="n">
        <v>375</v>
      </c>
      <c r="O8" s="79" t="n">
        <v>525</v>
      </c>
      <c r="P8" s="79" t="n">
        <v>810</v>
      </c>
      <c r="Q8" s="79" t="n">
        <v>1215</v>
      </c>
      <c r="R8" s="79" t="n">
        <v>200</v>
      </c>
      <c r="S8" s="79" t="n">
        <v>300</v>
      </c>
      <c r="T8" s="79">
        <f>(J8+L8+N8+P8+R8+T8)-(I8+K8+M8+O8+Q8+S8)</f>
        <v/>
      </c>
      <c r="U8" s="80">
        <f>IF(J8+L8+N8+P8+R8+T8&gt;0,((J8+L8+N8+P8+R8+T8)-(I8+K8+M8+O8+Q8+S8))/(J8+L8+N8+P8+R8+T8),0)</f>
        <v/>
      </c>
    </row>
    <row r="9" ht="51" customHeight="1" s="42">
      <c r="A9" s="10" t="n"/>
      <c r="B9" s="10" t="n"/>
      <c r="C9" s="10" t="n"/>
      <c r="D9" s="10" t="n"/>
      <c r="E9" s="10" t="n"/>
      <c r="F9" s="10" t="n"/>
      <c r="G9" s="10" t="n"/>
      <c r="H9" s="10" t="n"/>
      <c r="I9" s="10" t="n"/>
      <c r="L9" s="10" t="n"/>
      <c r="M9" s="10" t="n"/>
      <c r="T9" s="10" t="n"/>
      <c r="U9" s="10" t="n"/>
    </row>
    <row r="10">
      <c r="A10" s="6" t="n">
        <v>4</v>
      </c>
      <c r="B10" s="6" t="inlineStr">
        <is>
          <t>5N7D</t>
        </is>
      </c>
      <c r="C10" s="6" t="inlineStr">
        <is>
          <t>트럼프+샌드+히든 3色 시그니처</t>
        </is>
      </c>
      <c r="D10" s="6" t="n">
        <v>5</v>
      </c>
      <c r="E10" s="6" t="n">
        <v>7</v>
      </c>
      <c r="F10" s="6" t="n">
        <v>3</v>
      </c>
      <c r="G10" s="6" t="inlineStr">
        <is>
          <t>Trump×1+Sand×1+HV×1</t>
        </is>
      </c>
      <c r="H10" s="149" t="inlineStr">
        <is>
          <t>G3·H5·T5·M5B5L5D2Ex·I5</t>
        </is>
      </c>
      <c r="I10" s="5" t="n">
        <v>854</v>
      </c>
      <c r="J10" s="79" t="n">
        <v>45</v>
      </c>
      <c r="K10" s="79" t="n">
        <v>165</v>
      </c>
      <c r="L10" s="5" t="n">
        <v>1375</v>
      </c>
      <c r="M10" s="5" t="n">
        <v>1875</v>
      </c>
      <c r="N10" s="79" t="n">
        <v>625</v>
      </c>
      <c r="O10" s="79" t="n">
        <v>875</v>
      </c>
      <c r="P10" s="79" t="n">
        <v>1350</v>
      </c>
      <c r="Q10" s="79" t="n">
        <v>2025</v>
      </c>
      <c r="R10" s="79" t="n">
        <v>250</v>
      </c>
      <c r="S10" s="79" t="n">
        <v>375</v>
      </c>
      <c r="T10" s="79">
        <f>(J10+L10+N10+P10+R10+T10)-(I10+K10+M10+O10+Q10+S10)</f>
        <v/>
      </c>
      <c r="U10" s="80">
        <f>IF(J10+L10+N10+P10+R10+T10&gt;0,((J10+L10+N10+P10+R10+T10)-(I10+K10+M10+O10+Q10+S10))/(J10+L10+N10+P10+R10+T10),0)</f>
        <v/>
      </c>
    </row>
  </sheetData>
  <mergeCells count="10">
    <mergeCell ref="P4:Q4"/>
    <mergeCell ref="J4:K4"/>
    <mergeCell ref="I4:J4"/>
    <mergeCell ref="L4:M4"/>
    <mergeCell ref="H4:I4"/>
    <mergeCell ref="K4:L4"/>
    <mergeCell ref="A1:U1"/>
    <mergeCell ref="M4:N4"/>
    <mergeCell ref="R4:S4"/>
    <mergeCell ref="N4:O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9"/>
  <sheetViews>
    <sheetView workbookViewId="0">
      <pane ySplit="8" topLeftCell="A9" activePane="bottomLeft" state="frozen"/>
      <selection pane="bottomLeft" activeCell="A1" sqref="A1"/>
    </sheetView>
  </sheetViews>
  <sheetFormatPr baseColWidth="8" defaultRowHeight="15"/>
  <cols>
    <col width="28" customWidth="1" style="42" min="1" max="1"/>
    <col width="7" customWidth="1" style="42" min="2" max="2"/>
    <col width="11" customWidth="1" style="42" min="3" max="3"/>
    <col width="11" customWidth="1" style="42" min="4" max="4"/>
    <col width="8" customWidth="1" style="42" min="5" max="5"/>
    <col width="8" customWidth="1" style="42" min="6" max="6"/>
    <col width="8" customWidth="1" style="42" min="7" max="7"/>
    <col width="8" customWidth="1" style="42" min="8" max="8"/>
    <col width="8" customWidth="1" style="42" min="9" max="9"/>
    <col width="12" customWidth="1" style="42" min="10" max="10"/>
    <col width="12" customWidth="1" style="42" min="11" max="11"/>
    <col hidden="1" width="8" customWidth="1" style="42" min="12" max="12"/>
    <col hidden="1" width="8" customWidth="1" style="42" min="13" max="13"/>
    <col hidden="1" width="8" customWidth="1" style="42" min="14" max="14"/>
    <col hidden="1" width="8" customWidth="1" style="42" min="15" max="15"/>
    <col hidden="1" width="13" customWidth="1" style="42" min="17" max="17"/>
    <col hidden="1" width="13" customWidth="1" style="42" min="18" max="18"/>
  </cols>
  <sheetData>
    <row r="1">
      <c r="A1" s="103" t="inlineStr">
        <is>
          <t>🎯 PACKAGE SELECTOR</t>
        </is>
      </c>
      <c r="B1" s="104" t="n"/>
      <c r="C1" s="104" t="n"/>
      <c r="D1" s="104" t="n"/>
      <c r="E1" s="104" t="n"/>
      <c r="F1" s="104" t="n"/>
      <c r="G1" s="104" t="n"/>
      <c r="H1" s="104" t="n"/>
      <c r="I1" s="104" t="n"/>
      <c r="J1" s="104" t="n"/>
      <c r="K1" s="104" t="n"/>
    </row>
    <row r="2">
      <c r="A2" s="106" t="inlineStr">
        <is>
          <t>Package:</t>
        </is>
      </c>
      <c r="B2" s="129" t="inlineStr"/>
      <c r="D2" s="106" t="inlineStr">
        <is>
          <t>Golfers:</t>
        </is>
      </c>
      <c r="E2" s="138" t="n">
        <v>4</v>
      </c>
      <c r="F2" s="129" t="inlineStr">
        <is>
          <t>Guest1</t>
        </is>
      </c>
      <c r="G2" s="129" t="inlineStr">
        <is>
          <t>Guest2</t>
        </is>
      </c>
      <c r="H2" s="129" t="inlineStr">
        <is>
          <t>Guest3</t>
        </is>
      </c>
      <c r="I2" s="129" t="inlineStr">
        <is>
          <t>Guest4</t>
        </is>
      </c>
    </row>
    <row r="3">
      <c r="A3" s="128" t="inlineStr">
        <is>
          <t>✈️ OUTBOUND</t>
        </is>
      </c>
      <c r="B3" s="77" t="n"/>
      <c r="C3" s="77" t="n"/>
      <c r="D3" s="77" t="n"/>
      <c r="E3" s="77" t="n"/>
      <c r="F3" s="77" t="n"/>
      <c r="G3" s="77" t="n"/>
      <c r="H3" s="77" t="n"/>
      <c r="I3" s="77" t="n"/>
      <c r="J3" s="77" t="n"/>
      <c r="K3" s="77" t="n"/>
    </row>
    <row r="4">
      <c r="A4" s="106" t="inlineStr">
        <is>
          <t>Date:</t>
        </is>
      </c>
      <c r="B4" s="82" t="inlineStr">
        <is>
          <t>2026-05-25</t>
        </is>
      </c>
      <c r="C4" s="106" t="inlineStr">
        <is>
          <t>Flight:</t>
        </is>
      </c>
      <c r="D4" s="82" t="inlineStr">
        <is>
          <t>KE011</t>
        </is>
      </c>
      <c r="E4" s="144">
        <f>IF(D4="","",VLOOKUP(D4,'Master Data'!$A$60:$D$63,3,FALSE))&amp;" → "&amp;IF(D4="","",VLOOKUP(D4,'Master Data'!$A$60:$D$63,4,FALSE))</f>
        <v/>
      </c>
      <c r="F4" s="86" t="n"/>
      <c r="G4" s="86" t="n"/>
      <c r="H4" s="87" t="n"/>
      <c r="I4" s="106" t="inlineStr">
        <is>
          <t>Seat:</t>
        </is>
      </c>
      <c r="J4" s="82" t="inlineStr">
        <is>
          <t>Economy</t>
        </is>
      </c>
    </row>
    <row r="5">
      <c r="A5" s="128" t="inlineStr">
        <is>
          <t>✈️ RETURN</t>
        </is>
      </c>
      <c r="B5" s="77" t="n"/>
      <c r="C5" s="77" t="n"/>
      <c r="D5" s="77" t="n"/>
      <c r="E5" s="77" t="n"/>
      <c r="F5" s="77" t="n"/>
      <c r="G5" s="77" t="n"/>
      <c r="H5" s="77" t="n"/>
      <c r="I5" s="77" t="n"/>
      <c r="J5" s="77" t="n"/>
      <c r="K5" s="77" t="n"/>
    </row>
    <row r="6">
      <c r="A6" s="106" t="inlineStr">
        <is>
          <t>Date:</t>
        </is>
      </c>
      <c r="B6" s="82" t="inlineStr">
        <is>
          <t>2026-05-30</t>
        </is>
      </c>
      <c r="C6" s="106" t="inlineStr">
        <is>
          <t>Flight:</t>
        </is>
      </c>
      <c r="D6" s="82" t="inlineStr">
        <is>
          <t>KE018</t>
        </is>
      </c>
      <c r="E6" s="144">
        <f>IF(D6="","",VLOOKUP(D6,'Master Data'!$A$74:$D$77,3,FALSE))&amp;" → "&amp;IF(D6="","",VLOOKUP(D6,'Master Data'!$A$74:$D$77,4,FALSE))</f>
        <v/>
      </c>
      <c r="F6" s="86" t="n"/>
      <c r="G6" s="86" t="n"/>
      <c r="H6" s="87" t="n"/>
      <c r="I6" s="106" t="inlineStr">
        <is>
          <t>Duration:</t>
        </is>
      </c>
      <c r="J6" s="144">
        <f>IF(AND(B4&lt;&gt;"",B6&lt;&gt;""),B6-B4,"")&amp;"N "&amp;IF(AND(B4&lt;&gt;"",B6&lt;&gt;""),B6-B4+1,"")&amp;"D"</f>
        <v/>
      </c>
      <c r="K6" s="87" t="n"/>
    </row>
    <row r="7">
      <c r="A7" s="106" t="inlineStr">
        <is>
          <t>Status:</t>
        </is>
      </c>
      <c r="B7" s="136">
        <f>IF(SUM(Q:Q)&gt;0,"❌"&amp;SUM(Q:Q)&amp;"dup","✅")</f>
        <v/>
      </c>
      <c r="D7" s="106" t="inlineStr">
        <is>
          <t>X-Check:</t>
        </is>
      </c>
      <c r="E7" s="133">
        <f>J72</f>
        <v/>
      </c>
      <c r="F7" s="81" t="inlineStr">
        <is>
          <t>vs</t>
        </is>
      </c>
      <c r="G7" s="133">
        <f>B89</f>
        <v/>
      </c>
      <c r="H7" s="81" t="inlineStr">
        <is>
          <t>=</t>
        </is>
      </c>
      <c r="I7" s="136">
        <f>IF(E7-G7=0,"✅MATCH","❌")</f>
        <v/>
      </c>
    </row>
    <row r="8">
      <c r="A8" s="119" t="inlineStr">
        <is>
          <t>Item ▼</t>
        </is>
      </c>
      <c r="B8" s="98" t="inlineStr">
        <is>
          <t>Qty</t>
        </is>
      </c>
      <c r="C8" s="98" t="inlineStr">
        <is>
          <t>Cost/P</t>
        </is>
      </c>
      <c r="D8" s="98" t="inlineStr">
        <is>
          <t>Sell/P</t>
        </is>
      </c>
      <c r="E8" s="98" t="inlineStr">
        <is>
          <t>M%</t>
        </is>
      </c>
      <c r="F8" s="98">
        <f>F2</f>
        <v/>
      </c>
      <c r="G8" s="98">
        <f>G2</f>
        <v/>
      </c>
      <c r="H8" s="98">
        <f>H2</f>
        <v/>
      </c>
      <c r="I8" s="98">
        <f>I2</f>
        <v/>
      </c>
      <c r="J8" s="98" t="inlineStr">
        <is>
          <t>Cost</t>
        </is>
      </c>
      <c r="K8" s="98" t="inlineStr">
        <is>
          <t>Sell</t>
        </is>
      </c>
      <c r="L8" s="98" t="inlineStr">
        <is>
          <t>P5</t>
        </is>
      </c>
      <c r="M8" s="98" t="inlineStr">
        <is>
          <t>P6</t>
        </is>
      </c>
      <c r="N8" s="98" t="inlineStr">
        <is>
          <t>P7</t>
        </is>
      </c>
      <c r="O8" s="98" t="inlineStr">
        <is>
          <t>P8</t>
        </is>
      </c>
      <c r="Q8" s="98" t="inlineStr">
        <is>
          <t>Type</t>
        </is>
      </c>
    </row>
    <row r="9">
      <c r="A9" s="128" t="inlineStr">
        <is>
          <t>⛳ GOLF</t>
        </is>
      </c>
      <c r="B9" s="77" t="n"/>
      <c r="C9" s="77" t="n"/>
      <c r="D9" s="77" t="n"/>
      <c r="E9" s="77" t="n"/>
      <c r="F9" s="77" t="n"/>
      <c r="G9" s="77" t="n"/>
      <c r="H9" s="77" t="n"/>
      <c r="I9" s="77" t="n"/>
      <c r="J9" s="77" t="n"/>
      <c r="K9" s="77" t="n"/>
    </row>
    <row r="10">
      <c r="A10" s="109" t="inlineStr">
        <is>
          <t>Hidden Valley GC</t>
        </is>
      </c>
      <c r="B10" s="83" t="n">
        <v>1</v>
      </c>
      <c r="C10" s="84">
        <f>IF(A10="","",VLOOKUP(A10,'Master Data'!$A$7:$C$14,2,FALSE))</f>
        <v/>
      </c>
      <c r="D10" s="84">
        <f>IF(A10="","",VLOOKUP(A10,'Master Data'!$A$7:$C$14,3,FALSE))</f>
        <v/>
      </c>
      <c r="E10" s="137">
        <f>IF(D10&gt;0,(D10-C10)/D10,0)</f>
        <v/>
      </c>
      <c r="F10" s="145" t="inlineStr"/>
      <c r="G10" s="145" t="inlineStr"/>
      <c r="H10" s="145" t="inlineStr"/>
      <c r="I10" s="145" t="inlineStr"/>
      <c r="J10" s="84">
        <f>IF(A10="","",(COUNTIF(F10,"●")+COUNTIF(G10,"●")+COUNTIF(H10,"●")+COUNTIF(I10,"●")+COUNTIF(L10,"●")+COUNTIF(M10,"●")+COUNTIF(N10,"●")+COUNTIF(O10,"●"))*B10*C10)</f>
        <v/>
      </c>
      <c r="K10" s="84">
        <f>IF(A10="","",(COUNTIF(F10,"●")+COUNTIF(G10,"●")+COUNTIF(H10,"●")+COUNTIF(I10,"●")+COUNTIF(L10,"●")+COUNTIF(M10,"●")+COUNTIF(N10,"●")+COUNTIF(O10,"●"))*B10*D10)</f>
        <v/>
      </c>
      <c r="L10" s="145" t="inlineStr"/>
      <c r="M10" s="145" t="inlineStr"/>
      <c r="N10" s="145" t="inlineStr"/>
      <c r="O10" s="145" t="inlineStr"/>
      <c r="Q10" s="81">
        <f>0</f>
        <v/>
      </c>
      <c r="R10" s="81" t="inlineStr">
        <is>
          <t>pp</t>
        </is>
      </c>
    </row>
    <row r="11">
      <c r="A11" s="108" t="inlineStr">
        <is>
          <t>Sandpiper GC</t>
        </is>
      </c>
      <c r="B11" s="83" t="n">
        <v>2</v>
      </c>
      <c r="C11" s="84">
        <f>IF(A11="","",VLOOKUP(A11,'Master Data'!$A$7:$C$14,2,FALSE))</f>
        <v/>
      </c>
      <c r="D11" s="84">
        <f>IF(A11="","",VLOOKUP(A11,'Master Data'!$A$7:$C$14,3,FALSE))</f>
        <v/>
      </c>
      <c r="E11" s="137">
        <f>IF(D11&gt;0,(D11-C11)/D11,0)</f>
        <v/>
      </c>
      <c r="F11" s="145" t="inlineStr"/>
      <c r="G11" s="145" t="inlineStr"/>
      <c r="H11" s="145" t="inlineStr"/>
      <c r="I11" s="145" t="inlineStr"/>
      <c r="J11" s="84">
        <f>IF(A11="","",(COUNTIF(F11,"●")+COUNTIF(G11,"●")+COUNTIF(H11,"●")+COUNTIF(I11,"●")+COUNTIF(L11,"●")+COUNTIF(M11,"●")+COUNTIF(N11,"●")+COUNTIF(O11,"●"))*B11*C11)</f>
        <v/>
      </c>
      <c r="K11" s="84">
        <f>IF(A11="","",(COUNTIF(F11,"●")+COUNTIF(G11,"●")+COUNTIF(H11,"●")+COUNTIF(I11,"●")+COUNTIF(L11,"●")+COUNTIF(M11,"●")+COUNTIF(N11,"●")+COUNTIF(O11,"●"))*B11*D11)</f>
        <v/>
      </c>
      <c r="L11" s="145" t="inlineStr"/>
      <c r="M11" s="145" t="inlineStr"/>
      <c r="N11" s="145" t="inlineStr"/>
      <c r="O11" s="145" t="inlineStr"/>
      <c r="Q11" s="81">
        <f>IF(A11="",0,COUNTIF(A$10:A10,A11))</f>
        <v/>
      </c>
      <c r="R11" s="81" t="inlineStr">
        <is>
          <t>pp</t>
        </is>
      </c>
    </row>
    <row r="12">
      <c r="A12" s="109" t="inlineStr">
        <is>
          <t>Trump National LA</t>
        </is>
      </c>
      <c r="B12" s="83" t="n">
        <v>2</v>
      </c>
      <c r="C12" s="84">
        <f>IF(A12="","",VLOOKUP(A12,'Master Data'!$A$7:$C$14,2,FALSE))</f>
        <v/>
      </c>
      <c r="D12" s="84">
        <f>IF(A12="","",VLOOKUP(A12,'Master Data'!$A$7:$C$14,3,FALSE))</f>
        <v/>
      </c>
      <c r="E12" s="137">
        <f>IF(D12&gt;0,(D12-C12)/D12,0)</f>
        <v/>
      </c>
      <c r="F12" s="145" t="inlineStr"/>
      <c r="G12" s="145" t="inlineStr"/>
      <c r="H12" s="145" t="inlineStr"/>
      <c r="I12" s="145" t="inlineStr"/>
      <c r="J12" s="84">
        <f>IF(A12="","",(COUNTIF(F12,"●")+COUNTIF(G12,"●")+COUNTIF(H12,"●")+COUNTIF(I12,"●")+COUNTIF(L12,"●")+COUNTIF(M12,"●")+COUNTIF(N12,"●")+COUNTIF(O12,"●"))*B12*C12)</f>
        <v/>
      </c>
      <c r="K12" s="84">
        <f>IF(A12="","",(COUNTIF(F12,"●")+COUNTIF(G12,"●")+COUNTIF(H12,"●")+COUNTIF(I12,"●")+COUNTIF(L12,"●")+COUNTIF(M12,"●")+COUNTIF(N12,"●")+COUNTIF(O12,"●"))*B12*D12)</f>
        <v/>
      </c>
      <c r="L12" s="145" t="inlineStr"/>
      <c r="M12" s="145" t="inlineStr"/>
      <c r="N12" s="145" t="inlineStr"/>
      <c r="O12" s="145" t="inlineStr"/>
      <c r="Q12" s="81">
        <f>IF(A12="",0,COUNTIF(A$10:A11,A12))</f>
        <v/>
      </c>
      <c r="R12" s="81" t="inlineStr">
        <is>
          <t>pp</t>
        </is>
      </c>
    </row>
    <row r="13">
      <c r="A13" s="129" t="inlineStr"/>
      <c r="B13" s="83" t="inlineStr"/>
      <c r="C13" s="84">
        <f>IF(A13="","",VLOOKUP(A13,'Master Data'!$A$7:$C$14,2,FALSE))</f>
        <v/>
      </c>
      <c r="D13" s="84">
        <f>IF(A13="","",VLOOKUP(A13,'Master Data'!$A$7:$C$14,3,FALSE))</f>
        <v/>
      </c>
      <c r="E13" s="137">
        <f>IF(D13&gt;0,(D13-C13)/D13,0)</f>
        <v/>
      </c>
      <c r="F13" s="145" t="inlineStr"/>
      <c r="G13" s="145" t="inlineStr"/>
      <c r="H13" s="145" t="inlineStr"/>
      <c r="I13" s="145" t="inlineStr"/>
      <c r="J13" s="84">
        <f>IF(A13="","",(COUNTIF(F13,"●")+COUNTIF(G13,"●")+COUNTIF(H13,"●")+COUNTIF(I13,"●")+COUNTIF(L13,"●")+COUNTIF(M13,"●")+COUNTIF(N13,"●")+COUNTIF(O13,"●"))*B13*C13)</f>
        <v/>
      </c>
      <c r="K13" s="84">
        <f>IF(A13="","",(COUNTIF(F13,"●")+COUNTIF(G13,"●")+COUNTIF(H13,"●")+COUNTIF(I13,"●")+COUNTIF(L13,"●")+COUNTIF(M13,"●")+COUNTIF(N13,"●")+COUNTIF(O13,"●"))*B13*D13)</f>
        <v/>
      </c>
      <c r="L13" s="145" t="inlineStr"/>
      <c r="M13" s="145" t="inlineStr"/>
      <c r="N13" s="145" t="inlineStr"/>
      <c r="O13" s="145" t="inlineStr"/>
      <c r="Q13" s="81">
        <f>IF(A13="",0,COUNTIF(A$10:A12,A13))</f>
        <v/>
      </c>
      <c r="R13" s="81" t="inlineStr"/>
    </row>
    <row r="14">
      <c r="A14" s="129" t="inlineStr"/>
      <c r="B14" s="83" t="inlineStr"/>
      <c r="C14" s="84">
        <f>IF(A14="","",VLOOKUP(A14,'Master Data'!$A$7:$C$14,2,FALSE))</f>
        <v/>
      </c>
      <c r="D14" s="84">
        <f>IF(A14="","",VLOOKUP(A14,'Master Data'!$A$7:$C$14,3,FALSE))</f>
        <v/>
      </c>
      <c r="E14" s="137">
        <f>IF(D14&gt;0,(D14-C14)/D14,0)</f>
        <v/>
      </c>
      <c r="F14" s="145" t="inlineStr"/>
      <c r="G14" s="145" t="inlineStr"/>
      <c r="H14" s="145" t="inlineStr"/>
      <c r="I14" s="145" t="inlineStr"/>
      <c r="J14" s="84">
        <f>IF(A14="","",(COUNTIF(F14,"●")+COUNTIF(G14,"●")+COUNTIF(H14,"●")+COUNTIF(I14,"●")+COUNTIF(L14,"●")+COUNTIF(M14,"●")+COUNTIF(N14,"●")+COUNTIF(O14,"●"))*B14*C14)</f>
        <v/>
      </c>
      <c r="K14" s="84">
        <f>IF(A14="","",(COUNTIF(F14,"●")+COUNTIF(G14,"●")+COUNTIF(H14,"●")+COUNTIF(I14,"●")+COUNTIF(L14,"●")+COUNTIF(M14,"●")+COUNTIF(N14,"●")+COUNTIF(O14,"●"))*B14*D14)</f>
        <v/>
      </c>
      <c r="L14" s="145" t="inlineStr"/>
      <c r="M14" s="145" t="inlineStr"/>
      <c r="N14" s="145" t="inlineStr"/>
      <c r="O14" s="145" t="inlineStr"/>
      <c r="Q14" s="81">
        <f>IF(A14="",0,COUNTIF(A$10:A13,A14))</f>
        <v/>
      </c>
      <c r="R14" s="81" t="inlineStr"/>
    </row>
    <row r="15">
      <c r="A15" s="123" t="inlineStr">
        <is>
          <t>SUBTOTAL</t>
        </is>
      </c>
      <c r="B15" s="114" t="inlineStr"/>
      <c r="C15" s="114" t="inlineStr"/>
      <c r="D15" s="114" t="inlineStr"/>
      <c r="E15" s="114" t="inlineStr"/>
      <c r="F15" s="130">
        <f>IF(F10="●",B10*C10,0)+IF(F11="●",B11*C11,0)+IF(F12="●",B12*C12,0)+IF(F13="●",B13*C13,0)+IF(F14="●",B14*C14,0)</f>
        <v/>
      </c>
      <c r="G15" s="130">
        <f>IF(G10="●",B10*C10,0)+IF(G11="●",B11*C11,0)+IF(G12="●",B12*C12,0)+IF(G13="●",B13*C13,0)+IF(G14="●",B14*C14,0)</f>
        <v/>
      </c>
      <c r="H15" s="130">
        <f>IF(H10="●",B10*C10,0)+IF(H11="●",B11*C11,0)+IF(H12="●",B12*C12,0)+IF(H13="●",B13*C13,0)+IF(H14="●",B14*C14,0)</f>
        <v/>
      </c>
      <c r="I15" s="130">
        <f>IF(I10="●",B10*C10,0)+IF(I11="●",B11*C11,0)+IF(I12="●",B12*C12,0)+IF(I13="●",B13*C13,0)+IF(I14="●",B14*C14,0)</f>
        <v/>
      </c>
      <c r="J15" s="88">
        <f>SUM(J10:J14)</f>
        <v/>
      </c>
      <c r="K15" s="88">
        <f>SUM(K10:K14)</f>
        <v/>
      </c>
      <c r="L15" s="130">
        <f>IF(L10="●",B10*C10,0)+IF(L11="●",B11*C11,0)+IF(L12="●",B12*C12,0)+IF(L13="●",B13*C13,0)+IF(L14="●",B14*C14,0)</f>
        <v/>
      </c>
      <c r="M15" s="130">
        <f>IF(M10="●",B10*C10,0)+IF(M11="●",B11*C11,0)+IF(M12="●",B12*C12,0)+IF(M13="●",B13*C13,0)+IF(M14="●",B14*C14,0)</f>
        <v/>
      </c>
      <c r="N15" s="130">
        <f>IF(N10="●",B10*C10,0)+IF(N11="●",B11*C11,0)+IF(N12="●",B12*C12,0)+IF(N13="●",B13*C13,0)+IF(N14="●",B14*C14,0)</f>
        <v/>
      </c>
      <c r="O15" s="130">
        <f>IF(O10="●",B10*C10,0)+IF(O11="●",B11*C11,0)+IF(O12="●",B12*C12,0)+IF(O13="●",B13*C13,0)+IF(O14="●",B14*C14,0)</f>
        <v/>
      </c>
    </row>
    <row r="17">
      <c r="A17" s="128" t="inlineStr">
        <is>
          <t>🏨 HOTEL</t>
        </is>
      </c>
      <c r="B17" s="77" t="n"/>
      <c r="C17" s="77" t="n"/>
      <c r="D17" s="77" t="n"/>
      <c r="E17" s="77" t="n"/>
      <c r="F17" s="77" t="n"/>
      <c r="G17" s="77" t="n"/>
      <c r="H17" s="77" t="n"/>
      <c r="I17" s="77" t="n"/>
      <c r="J17" s="77" t="n"/>
      <c r="K17" s="77" t="n"/>
    </row>
    <row r="18">
      <c r="A18" s="109" t="inlineStr">
        <is>
          <t>Beverly Wilshire (5★) / Same Tier</t>
        </is>
      </c>
      <c r="B18" s="83" t="n">
        <v>3</v>
      </c>
      <c r="C18" s="84">
        <f>IF(A18="","",VLOOKUP(A18,'Master Data'!$A$19:$C$24,2,FALSE))</f>
        <v/>
      </c>
      <c r="D18" s="84">
        <f>IF(A18="","",VLOOKUP(A18,'Master Data'!$A$19:$C$24,3,FALSE))</f>
        <v/>
      </c>
      <c r="E18" s="137">
        <f>IF(D18&gt;0,(D18-C18)/D18,0)</f>
        <v/>
      </c>
      <c r="F18" s="145" t="inlineStr"/>
      <c r="G18" s="145" t="inlineStr"/>
      <c r="H18" s="145" t="inlineStr"/>
      <c r="I18" s="145" t="inlineStr"/>
      <c r="J18" s="84">
        <f>IF(A18="","",(COUNTIF(F18,"●")+COUNTIF(G18,"●")+COUNTIF(H18,"●")+COUNTIF(I18,"●")+COUNTIF(L18,"●")+COUNTIF(M18,"●")+COUNTIF(N18,"●")+COUNTIF(O18,"●"))*B18*C18)</f>
        <v/>
      </c>
      <c r="K18" s="84">
        <f>IF(A18="","",(COUNTIF(F18,"●")+COUNTIF(G18,"●")+COUNTIF(H18,"●")+COUNTIF(I18,"●")+COUNTIF(L18,"●")+COUNTIF(M18,"●")+COUNTIF(N18,"●")+COUNTIF(O18,"●"))*B18*D18)</f>
        <v/>
      </c>
      <c r="L18" s="145" t="inlineStr"/>
      <c r="M18" s="145" t="inlineStr"/>
      <c r="N18" s="145" t="inlineStr"/>
      <c r="O18" s="145" t="inlineStr"/>
      <c r="Q18" s="81">
        <f>0</f>
        <v/>
      </c>
      <c r="R18" s="81" t="inlineStr">
        <is>
          <t>pp</t>
        </is>
      </c>
    </row>
    <row r="19">
      <c r="A19" s="129" t="inlineStr"/>
      <c r="B19" s="83" t="inlineStr"/>
      <c r="C19" s="84">
        <f>IF(A19="","",VLOOKUP(A19,'Master Data'!$A$19:$C$24,2,FALSE))</f>
        <v/>
      </c>
      <c r="D19" s="84">
        <f>IF(A19="","",VLOOKUP(A19,'Master Data'!$A$19:$C$24,3,FALSE))</f>
        <v/>
      </c>
      <c r="E19" s="137">
        <f>IF(D19&gt;0,(D19-C19)/D19,0)</f>
        <v/>
      </c>
      <c r="F19" s="145" t="inlineStr"/>
      <c r="G19" s="145" t="inlineStr"/>
      <c r="H19" s="145" t="inlineStr"/>
      <c r="I19" s="145" t="inlineStr"/>
      <c r="J19" s="84">
        <f>IF(A19="","",(COUNTIF(F19,"●")+COUNTIF(G19,"●")+COUNTIF(H19,"●")+COUNTIF(I19,"●")+COUNTIF(L19,"●")+COUNTIF(M19,"●")+COUNTIF(N19,"●")+COUNTIF(O19,"●"))*B19*C19)</f>
        <v/>
      </c>
      <c r="K19" s="84">
        <f>IF(A19="","",(COUNTIF(F19,"●")+COUNTIF(G19,"●")+COUNTIF(H19,"●")+COUNTIF(I19,"●")+COUNTIF(L19,"●")+COUNTIF(M19,"●")+COUNTIF(N19,"●")+COUNTIF(O19,"●"))*B19*D19)</f>
        <v/>
      </c>
      <c r="L19" s="145" t="inlineStr"/>
      <c r="M19" s="145" t="inlineStr"/>
      <c r="N19" s="145" t="inlineStr"/>
      <c r="O19" s="145" t="inlineStr"/>
      <c r="Q19" s="81">
        <f>IF(A19="",0,COUNTIF(A$18:A18,A19))</f>
        <v/>
      </c>
      <c r="R19" s="81" t="inlineStr"/>
    </row>
    <row r="20">
      <c r="A20" s="129" t="inlineStr"/>
      <c r="B20" s="83" t="inlineStr"/>
      <c r="C20" s="84">
        <f>IF(A20="","",VLOOKUP(A20,'Master Data'!$A$19:$C$24,2,FALSE))</f>
        <v/>
      </c>
      <c r="D20" s="84">
        <f>IF(A20="","",VLOOKUP(A20,'Master Data'!$A$19:$C$24,3,FALSE))</f>
        <v/>
      </c>
      <c r="E20" s="137">
        <f>IF(D20&gt;0,(D20-C20)/D20,0)</f>
        <v/>
      </c>
      <c r="F20" s="145" t="inlineStr"/>
      <c r="G20" s="145" t="inlineStr"/>
      <c r="H20" s="145" t="inlineStr"/>
      <c r="I20" s="145" t="inlineStr"/>
      <c r="J20" s="84">
        <f>IF(A20="","",(COUNTIF(F20,"●")+COUNTIF(G20,"●")+COUNTIF(H20,"●")+COUNTIF(I20,"●")+COUNTIF(L20,"●")+COUNTIF(M20,"●")+COUNTIF(N20,"●")+COUNTIF(O20,"●"))*B20*C20)</f>
        <v/>
      </c>
      <c r="K20" s="84">
        <f>IF(A20="","",(COUNTIF(F20,"●")+COUNTIF(G20,"●")+COUNTIF(H20,"●")+COUNTIF(I20,"●")+COUNTIF(L20,"●")+COUNTIF(M20,"●")+COUNTIF(N20,"●")+COUNTIF(O20,"●"))*B20*D20)</f>
        <v/>
      </c>
      <c r="L20" s="145" t="inlineStr"/>
      <c r="M20" s="145" t="inlineStr"/>
      <c r="N20" s="145" t="inlineStr"/>
      <c r="O20" s="145" t="inlineStr"/>
      <c r="Q20" s="81">
        <f>IF(A20="",0,COUNTIF(A$18:A19,A20))</f>
        <v/>
      </c>
      <c r="R20" s="81" t="inlineStr"/>
    </row>
    <row r="21">
      <c r="A21" s="123" t="inlineStr">
        <is>
          <t>SUBTOTAL</t>
        </is>
      </c>
      <c r="B21" s="114" t="inlineStr"/>
      <c r="C21" s="114" t="inlineStr"/>
      <c r="D21" s="114" t="inlineStr"/>
      <c r="E21" s="114" t="inlineStr"/>
      <c r="F21" s="130">
        <f>IF(F18="●",B18*C18,0)+IF(F19="●",B19*C19,0)+IF(F20="●",B20*C20,0)</f>
        <v/>
      </c>
      <c r="G21" s="130">
        <f>IF(G18="●",B18*C18,0)+IF(G19="●",B19*C19,0)+IF(G20="●",B20*C20,0)</f>
        <v/>
      </c>
      <c r="H21" s="130">
        <f>IF(H18="●",B18*C18,0)+IF(H19="●",B19*C19,0)+IF(H20="●",B20*C20,0)</f>
        <v/>
      </c>
      <c r="I21" s="130">
        <f>IF(I18="●",B18*C18,0)+IF(I19="●",B19*C19,0)+IF(I20="●",B20*C20,0)</f>
        <v/>
      </c>
      <c r="J21" s="88">
        <f>SUM(J18:J20)</f>
        <v/>
      </c>
      <c r="K21" s="88">
        <f>SUM(K18:K20)</f>
        <v/>
      </c>
      <c r="L21" s="130">
        <f>IF(L18="●",B18*C18,0)+IF(L19="●",B19*C19,0)+IF(L20="●",B20*C20,0)</f>
        <v/>
      </c>
      <c r="M21" s="130">
        <f>IF(M18="●",B18*C18,0)+IF(M19="●",B19*C19,0)+IF(M20="●",B20*C20,0)</f>
        <v/>
      </c>
      <c r="N21" s="130">
        <f>IF(N18="●",B18*C18,0)+IF(N19="●",B19*C19,0)+IF(N20="●",B20*C20,0)</f>
        <v/>
      </c>
      <c r="O21" s="130">
        <f>IF(O18="●",B18*C18,0)+IF(O19="●",B19*C19,0)+IF(O20="●",B20*C20,0)</f>
        <v/>
      </c>
    </row>
    <row r="23">
      <c r="A23" s="128" t="inlineStr">
        <is>
          <t>🚐 TRANSPORT</t>
        </is>
      </c>
      <c r="B23" s="77" t="n"/>
      <c r="C23" s="77" t="n"/>
      <c r="D23" s="77" t="n"/>
      <c r="E23" s="77" t="n"/>
      <c r="F23" s="77" t="n"/>
      <c r="G23" s="77" t="n"/>
      <c r="H23" s="77" t="n"/>
      <c r="I23" s="77" t="n"/>
      <c r="J23" s="77" t="n"/>
      <c r="K23" s="77" t="n"/>
    </row>
    <row r="24">
      <c r="A24" s="109" t="inlineStr">
        <is>
          <t>Driver/Guide + Van (일당)</t>
        </is>
      </c>
      <c r="B24" s="83" t="n">
        <v>3</v>
      </c>
      <c r="C24" s="84">
        <f>IF(A24="","",VLOOKUP(A24,'Master Data'!$A$28:$C$34,2,FALSE))</f>
        <v/>
      </c>
      <c r="D24" s="84">
        <f>IF(A24="","",VLOOKUP(A24,'Master Data'!$A$28:$C$34,3,FALSE))</f>
        <v/>
      </c>
      <c r="E24" s="137">
        <f>IF(D24&gt;0,(D24-C24)/D24,0)</f>
        <v/>
      </c>
      <c r="F24" s="145" t="inlineStr"/>
      <c r="G24" s="145" t="inlineStr"/>
      <c r="H24" s="145" t="inlineStr"/>
      <c r="I24" s="145" t="inlineStr"/>
      <c r="J24" s="84">
        <f>IF(A24="","",IF(OR((F24="●")+(G24="●")+(H24="●")+(I24="●")+(L24="●")+(M24="●")+(N24="●")+(O24="●")),B24*C24,0))</f>
        <v/>
      </c>
      <c r="K24" s="84">
        <f>IF(A24="","",IF(OR((F24="●")+(G24="●")+(H24="●")+(I24="●")+(L24="●")+(M24="●")+(N24="●")+(O24="●")),B24*D24,0))</f>
        <v/>
      </c>
      <c r="L24" s="145" t="inlineStr"/>
      <c r="M24" s="145" t="inlineStr"/>
      <c r="N24" s="145" t="inlineStr"/>
      <c r="O24" s="145" t="inlineStr"/>
      <c r="Q24" s="81">
        <f>0</f>
        <v/>
      </c>
      <c r="R24" s="81" t="inlineStr">
        <is>
          <t>pg</t>
        </is>
      </c>
    </row>
    <row r="25">
      <c r="A25" s="129" t="inlineStr"/>
      <c r="B25" s="83" t="inlineStr"/>
      <c r="C25" s="84">
        <f>IF(A25="","",VLOOKUP(A25,'Master Data'!$A$28:$C$34,2,FALSE))</f>
        <v/>
      </c>
      <c r="D25" s="84">
        <f>IF(A25="","",VLOOKUP(A25,'Master Data'!$A$28:$C$34,3,FALSE))</f>
        <v/>
      </c>
      <c r="E25" s="137">
        <f>IF(D25&gt;0,(D25-C25)/D25,0)</f>
        <v/>
      </c>
      <c r="F25" s="145" t="inlineStr"/>
      <c r="G25" s="145" t="inlineStr"/>
      <c r="H25" s="145" t="inlineStr"/>
      <c r="I25" s="145" t="inlineStr"/>
      <c r="J25" s="84">
        <f>IF(A25="","",(COUNTIF(F25,"●")+COUNTIF(G25,"●")+COUNTIF(H25,"●")+COUNTIF(I25,"●")+COUNTIF(L25,"●")+COUNTIF(M25,"●")+COUNTIF(N25,"●")+COUNTIF(O25,"●"))*B25*C25)</f>
        <v/>
      </c>
      <c r="K25" s="84">
        <f>IF(A25="","",(COUNTIF(F25,"●")+COUNTIF(G25,"●")+COUNTIF(H25,"●")+COUNTIF(I25,"●")+COUNTIF(L25,"●")+COUNTIF(M25,"●")+COUNTIF(N25,"●")+COUNTIF(O25,"●"))*B25*D25)</f>
        <v/>
      </c>
      <c r="L25" s="145" t="inlineStr"/>
      <c r="M25" s="145" t="inlineStr"/>
      <c r="N25" s="145" t="inlineStr"/>
      <c r="O25" s="145" t="inlineStr"/>
      <c r="Q25" s="81">
        <f>IF(A25="",0,COUNTIF(A$24:A24,A25))</f>
        <v/>
      </c>
      <c r="R25" s="81" t="inlineStr"/>
    </row>
    <row r="26">
      <c r="A26" s="129" t="inlineStr"/>
      <c r="B26" s="83" t="inlineStr"/>
      <c r="C26" s="84">
        <f>IF(A26="","",VLOOKUP(A26,'Master Data'!$A$28:$C$34,2,FALSE))</f>
        <v/>
      </c>
      <c r="D26" s="84">
        <f>IF(A26="","",VLOOKUP(A26,'Master Data'!$A$28:$C$34,3,FALSE))</f>
        <v/>
      </c>
      <c r="E26" s="137">
        <f>IF(D26&gt;0,(D26-C26)/D26,0)</f>
        <v/>
      </c>
      <c r="F26" s="145" t="inlineStr"/>
      <c r="G26" s="145" t="inlineStr"/>
      <c r="H26" s="145" t="inlineStr"/>
      <c r="I26" s="145" t="inlineStr"/>
      <c r="J26" s="84">
        <f>IF(A26="","",(COUNTIF(F26,"●")+COUNTIF(G26,"●")+COUNTIF(H26,"●")+COUNTIF(I26,"●")+COUNTIF(L26,"●")+COUNTIF(M26,"●")+COUNTIF(N26,"●")+COUNTIF(O26,"●"))*B26*C26)</f>
        <v/>
      </c>
      <c r="K26" s="84">
        <f>IF(A26="","",(COUNTIF(F26,"●")+COUNTIF(G26,"●")+COUNTIF(H26,"●")+COUNTIF(I26,"●")+COUNTIF(L26,"●")+COUNTIF(M26,"●")+COUNTIF(N26,"●")+COUNTIF(O26,"●"))*B26*D26)</f>
        <v/>
      </c>
      <c r="L26" s="145" t="inlineStr"/>
      <c r="M26" s="145" t="inlineStr"/>
      <c r="N26" s="145" t="inlineStr"/>
      <c r="O26" s="145" t="inlineStr"/>
      <c r="Q26" s="81">
        <f>IF(A26="",0,COUNTIF(A$24:A25,A26))</f>
        <v/>
      </c>
      <c r="R26" s="81" t="inlineStr"/>
    </row>
    <row r="27">
      <c r="A27" s="123" t="inlineStr">
        <is>
          <t>SUBTOTAL</t>
        </is>
      </c>
      <c r="B27" s="114" t="inlineStr"/>
      <c r="C27" s="114" t="inlineStr"/>
      <c r="D27" s="114" t="inlineStr"/>
      <c r="E27" s="114" t="inlineStr"/>
      <c r="F27" s="130">
        <f>IF(OR(F24="●"),B24*C24,0)+IF(F25="●",B25*C25,0)+IF(F26="●",B26*C26,0)</f>
        <v/>
      </c>
      <c r="G27" s="130">
        <f>IF(OR(G24="●"),B24*C24,0)+IF(G25="●",B25*C25,0)+IF(G26="●",B26*C26,0)</f>
        <v/>
      </c>
      <c r="H27" s="130">
        <f>IF(OR(H24="●"),B24*C24,0)+IF(H25="●",B25*C25,0)+IF(H26="●",B26*C26,0)</f>
        <v/>
      </c>
      <c r="I27" s="130">
        <f>IF(OR(I24="●"),B24*C24,0)+IF(I25="●",B25*C25,0)+IF(I26="●",B26*C26,0)</f>
        <v/>
      </c>
      <c r="J27" s="88">
        <f>SUM(J24:J26)</f>
        <v/>
      </c>
      <c r="K27" s="88">
        <f>SUM(K24:K26)</f>
        <v/>
      </c>
      <c r="L27" s="130">
        <f>IF(OR(L24="●"),B24*C24,0)+IF(L25="●",B25*C25,0)+IF(L26="●",B26*C26,0)</f>
        <v/>
      </c>
      <c r="M27" s="130">
        <f>IF(OR(M24="●"),B24*C24,0)+IF(M25="●",B25*C25,0)+IF(M26="●",B26*C26,0)</f>
        <v/>
      </c>
      <c r="N27" s="130">
        <f>IF(OR(N24="●"),B24*C24,0)+IF(N25="●",B25*C25,0)+IF(N26="●",B26*C26,0)</f>
        <v/>
      </c>
      <c r="O27" s="130">
        <f>IF(OR(O24="●"),B24*C24,0)+IF(O25="●",B25*C25,0)+IF(O26="●",B26*C26,0)</f>
        <v/>
      </c>
    </row>
    <row r="29">
      <c r="A29" s="128" t="inlineStr">
        <is>
          <t>🍽️ MEALS</t>
        </is>
      </c>
      <c r="B29" s="77" t="n"/>
      <c r="C29" s="77" t="n"/>
      <c r="D29" s="77" t="n"/>
      <c r="E29" s="77" t="n"/>
      <c r="F29" s="77" t="n"/>
      <c r="G29" s="77" t="n"/>
      <c r="H29" s="77" t="n"/>
      <c r="I29" s="77" t="n"/>
      <c r="J29" s="77" t="n"/>
      <c r="K29" s="77" t="n"/>
    </row>
    <row r="30">
      <c r="A30" s="109" t="inlineStr">
        <is>
          <t>Breakfast (Hotel)</t>
        </is>
      </c>
      <c r="B30" s="83" t="n">
        <v>3</v>
      </c>
      <c r="C30" s="84">
        <f>IF(A30="","",VLOOKUP(A30,'Master Data'!$A$38:$C$46,2,FALSE))</f>
        <v/>
      </c>
      <c r="D30" s="84">
        <f>IF(A30="","",VLOOKUP(A30,'Master Data'!$A$38:$C$46,3,FALSE))</f>
        <v/>
      </c>
      <c r="E30" s="137">
        <f>IF(D30&gt;0,(D30-C30)/D30,0)</f>
        <v/>
      </c>
      <c r="F30" s="145" t="inlineStr"/>
      <c r="G30" s="145" t="inlineStr"/>
      <c r="H30" s="145" t="inlineStr"/>
      <c r="I30" s="145" t="inlineStr"/>
      <c r="J30" s="84">
        <f>IF(A30="","",(COUNTIF(F30,"●")+COUNTIF(G30,"●")+COUNTIF(H30,"●")+COUNTIF(I30,"●")+COUNTIF(L30,"●")+COUNTIF(M30,"●")+COUNTIF(N30,"●")+COUNTIF(O30,"●"))*B30*C30)</f>
        <v/>
      </c>
      <c r="K30" s="84">
        <f>IF(A30="","",(COUNTIF(F30,"●")+COUNTIF(G30,"●")+COUNTIF(H30,"●")+COUNTIF(I30,"●")+COUNTIF(L30,"●")+COUNTIF(M30,"●")+COUNTIF(N30,"●")+COUNTIF(O30,"●"))*B30*D30)</f>
        <v/>
      </c>
      <c r="L30" s="145" t="inlineStr"/>
      <c r="M30" s="145" t="inlineStr"/>
      <c r="N30" s="145" t="inlineStr"/>
      <c r="O30" s="145" t="inlineStr"/>
      <c r="Q30" s="81">
        <f>0</f>
        <v/>
      </c>
      <c r="R30" s="81" t="inlineStr">
        <is>
          <t>pp</t>
        </is>
      </c>
    </row>
    <row r="31">
      <c r="A31" s="108" t="inlineStr">
        <is>
          <t>Dinner (Regular)</t>
        </is>
      </c>
      <c r="B31" s="83" t="n">
        <v>3</v>
      </c>
      <c r="C31" s="84">
        <f>IF(A31="","",VLOOKUP(A31,'Master Data'!$A$38:$C$46,2,FALSE))</f>
        <v/>
      </c>
      <c r="D31" s="84">
        <f>IF(A31="","",VLOOKUP(A31,'Master Data'!$A$38:$C$46,3,FALSE))</f>
        <v/>
      </c>
      <c r="E31" s="137">
        <f>IF(D31&gt;0,(D31-C31)/D31,0)</f>
        <v/>
      </c>
      <c r="F31" s="145" t="inlineStr"/>
      <c r="G31" s="145" t="inlineStr"/>
      <c r="H31" s="145" t="inlineStr"/>
      <c r="I31" s="145" t="inlineStr"/>
      <c r="J31" s="84">
        <f>IF(A31="","",(COUNTIF(F31,"●")+COUNTIF(G31,"●")+COUNTIF(H31,"●")+COUNTIF(I31,"●")+COUNTIF(L31,"●")+COUNTIF(M31,"●")+COUNTIF(N31,"●")+COUNTIF(O31,"●"))*B31*C31)</f>
        <v/>
      </c>
      <c r="K31" s="84">
        <f>IF(A31="","",(COUNTIF(F31,"●")+COUNTIF(G31,"●")+COUNTIF(H31,"●")+COUNTIF(I31,"●")+COUNTIF(L31,"●")+COUNTIF(M31,"●")+COUNTIF(N31,"●")+COUNTIF(O31,"●"))*B31*D31)</f>
        <v/>
      </c>
      <c r="L31" s="145" t="inlineStr"/>
      <c r="M31" s="145" t="inlineStr"/>
      <c r="N31" s="145" t="inlineStr"/>
      <c r="O31" s="145" t="inlineStr"/>
      <c r="Q31" s="81">
        <f>IF(A31="",0,COUNTIF(A$30:A30,A31))</f>
        <v/>
      </c>
      <c r="R31" s="81" t="inlineStr">
        <is>
          <t>pp</t>
        </is>
      </c>
    </row>
    <row r="32">
      <c r="A32" s="109" t="inlineStr">
        <is>
          <t>Exclusive Dinner (Michelin/Fine)</t>
        </is>
      </c>
      <c r="B32" s="83" t="n">
        <v>2</v>
      </c>
      <c r="C32" s="84">
        <f>IF(A32="","",VLOOKUP(A32,'Master Data'!$A$38:$C$46,2,FALSE))</f>
        <v/>
      </c>
      <c r="D32" s="84">
        <f>IF(A32="","",VLOOKUP(A32,'Master Data'!$A$38:$C$46,3,FALSE))</f>
        <v/>
      </c>
      <c r="E32" s="137">
        <f>IF(D32&gt;0,(D32-C32)/D32,0)</f>
        <v/>
      </c>
      <c r="F32" s="145" t="inlineStr"/>
      <c r="G32" s="145" t="inlineStr"/>
      <c r="H32" s="145" t="inlineStr"/>
      <c r="I32" s="145" t="inlineStr"/>
      <c r="J32" s="84">
        <f>IF(A32="","",(COUNTIF(F32,"●")+COUNTIF(G32,"●")+COUNTIF(H32,"●")+COUNTIF(I32,"●")+COUNTIF(L32,"●")+COUNTIF(M32,"●")+COUNTIF(N32,"●")+COUNTIF(O32,"●"))*B32*C32)</f>
        <v/>
      </c>
      <c r="K32" s="84">
        <f>IF(A32="","",(COUNTIF(F32,"●")+COUNTIF(G32,"●")+COUNTIF(H32,"●")+COUNTIF(I32,"●")+COUNTIF(L32,"●")+COUNTIF(M32,"●")+COUNTIF(N32,"●")+COUNTIF(O32,"●"))*B32*D32)</f>
        <v/>
      </c>
      <c r="L32" s="145" t="inlineStr"/>
      <c r="M32" s="145" t="inlineStr"/>
      <c r="N32" s="145" t="inlineStr"/>
      <c r="O32" s="145" t="inlineStr"/>
      <c r="Q32" s="81">
        <f>IF(A32="",0,COUNTIF(A$30:A31,A32))</f>
        <v/>
      </c>
      <c r="R32" s="81" t="inlineStr">
        <is>
          <t>pp</t>
        </is>
      </c>
    </row>
    <row r="33">
      <c r="A33" s="108" t="inlineStr">
        <is>
          <t>Lunch</t>
        </is>
      </c>
      <c r="B33" s="83" t="n">
        <v>3</v>
      </c>
      <c r="C33" s="84">
        <f>IF(A33="","",VLOOKUP(A33,'Master Data'!$A$38:$C$46,2,FALSE))</f>
        <v/>
      </c>
      <c r="D33" s="84">
        <f>IF(A33="","",VLOOKUP(A33,'Master Data'!$A$38:$C$46,3,FALSE))</f>
        <v/>
      </c>
      <c r="E33" s="137">
        <f>IF(D33&gt;0,(D33-C33)/D33,0)</f>
        <v/>
      </c>
      <c r="F33" s="145" t="inlineStr"/>
      <c r="G33" s="145" t="inlineStr"/>
      <c r="H33" s="145" t="inlineStr"/>
      <c r="I33" s="145" t="inlineStr"/>
      <c r="J33" s="84">
        <f>IF(A33="","",(COUNTIF(F33,"●")+COUNTIF(G33,"●")+COUNTIF(H33,"●")+COUNTIF(I33,"●")+COUNTIF(L33,"●")+COUNTIF(M33,"●")+COUNTIF(N33,"●")+COUNTIF(O33,"●"))*B33*C33)</f>
        <v/>
      </c>
      <c r="K33" s="84">
        <f>IF(A33="","",(COUNTIF(F33,"●")+COUNTIF(G33,"●")+COUNTIF(H33,"●")+COUNTIF(I33,"●")+COUNTIF(L33,"●")+COUNTIF(M33,"●")+COUNTIF(N33,"●")+COUNTIF(O33,"●"))*B33*D33)</f>
        <v/>
      </c>
      <c r="L33" s="145" t="inlineStr"/>
      <c r="M33" s="145" t="inlineStr"/>
      <c r="N33" s="145" t="inlineStr"/>
      <c r="O33" s="145" t="inlineStr"/>
      <c r="Q33" s="81">
        <f>IF(A33="",0,COUNTIF(A$30:A32,A33))</f>
        <v/>
      </c>
      <c r="R33" s="81" t="inlineStr">
        <is>
          <t>pp</t>
        </is>
      </c>
    </row>
    <row r="34">
      <c r="A34" s="129" t="inlineStr"/>
      <c r="B34" s="83" t="inlineStr"/>
      <c r="C34" s="84">
        <f>IF(A34="","",VLOOKUP(A34,'Master Data'!$A$38:$C$46,2,FALSE))</f>
        <v/>
      </c>
      <c r="D34" s="84">
        <f>IF(A34="","",VLOOKUP(A34,'Master Data'!$A$38:$C$46,3,FALSE))</f>
        <v/>
      </c>
      <c r="E34" s="137">
        <f>IF(D34&gt;0,(D34-C34)/D34,0)</f>
        <v/>
      </c>
      <c r="F34" s="145" t="inlineStr"/>
      <c r="G34" s="145" t="inlineStr"/>
      <c r="H34" s="145" t="inlineStr"/>
      <c r="I34" s="145" t="inlineStr"/>
      <c r="J34" s="84">
        <f>IF(A34="","",(COUNTIF(F34,"●")+COUNTIF(G34,"●")+COUNTIF(H34,"●")+COUNTIF(I34,"●")+COUNTIF(L34,"●")+COUNTIF(M34,"●")+COUNTIF(N34,"●")+COUNTIF(O34,"●"))*B34*C34)</f>
        <v/>
      </c>
      <c r="K34" s="84">
        <f>IF(A34="","",(COUNTIF(F34,"●")+COUNTIF(G34,"●")+COUNTIF(H34,"●")+COUNTIF(I34,"●")+COUNTIF(L34,"●")+COUNTIF(M34,"●")+COUNTIF(N34,"●")+COUNTIF(O34,"●"))*B34*D34)</f>
        <v/>
      </c>
      <c r="L34" s="145" t="inlineStr"/>
      <c r="M34" s="145" t="inlineStr"/>
      <c r="N34" s="145" t="inlineStr"/>
      <c r="O34" s="145" t="inlineStr"/>
      <c r="Q34" s="81">
        <f>IF(A34="",0,COUNTIF(A$30:A33,A34))</f>
        <v/>
      </c>
      <c r="R34" s="81" t="inlineStr"/>
    </row>
    <row r="35">
      <c r="A35" s="123" t="inlineStr">
        <is>
          <t>SUBTOTAL</t>
        </is>
      </c>
      <c r="B35" s="114" t="inlineStr"/>
      <c r="C35" s="114" t="inlineStr"/>
      <c r="D35" s="114" t="inlineStr"/>
      <c r="E35" s="114" t="inlineStr"/>
      <c r="F35" s="130">
        <f>IF(F30="●",B30*C30,0)+IF(F31="●",B31*C31,0)+IF(F32="●",B32*C32,0)+IF(F33="●",B33*C33,0)+IF(F34="●",B34*C34,0)</f>
        <v/>
      </c>
      <c r="G35" s="130">
        <f>IF(G30="●",B30*C30,0)+IF(G31="●",B31*C31,0)+IF(G32="●",B32*C32,0)+IF(G33="●",B33*C33,0)+IF(G34="●",B34*C34,0)</f>
        <v/>
      </c>
      <c r="H35" s="130">
        <f>IF(H30="●",B30*C30,0)+IF(H31="●",B31*C31,0)+IF(H32="●",B32*C32,0)+IF(H33="●",B33*C33,0)+IF(H34="●",B34*C34,0)</f>
        <v/>
      </c>
      <c r="I35" s="130">
        <f>IF(I30="●",B30*C30,0)+IF(I31="●",B31*C31,0)+IF(I32="●",B32*C32,0)+IF(I33="●",B33*C33,0)+IF(I34="●",B34*C34,0)</f>
        <v/>
      </c>
      <c r="J35" s="88">
        <f>SUM(J30:J34)</f>
        <v/>
      </c>
      <c r="K35" s="88">
        <f>SUM(K30:K34)</f>
        <v/>
      </c>
      <c r="L35" s="130">
        <f>IF(L30="●",B30*C30,0)+IF(L31="●",B31*C31,0)+IF(L32="●",B32*C32,0)+IF(L33="●",B33*C33,0)+IF(L34="●",B34*C34,0)</f>
        <v/>
      </c>
      <c r="M35" s="130">
        <f>IF(M30="●",B30*C30,0)+IF(M31="●",B31*C31,0)+IF(M32="●",B32*C32,0)+IF(M33="●",B33*C33,0)+IF(M34="●",B34*C34,0)</f>
        <v/>
      </c>
      <c r="N35" s="130">
        <f>IF(N30="●",B30*C30,0)+IF(N31="●",B31*C31,0)+IF(N32="●",B32*C32,0)+IF(N33="●",B33*C33,0)+IF(N34="●",B34*C34,0)</f>
        <v/>
      </c>
      <c r="O35" s="130">
        <f>IF(O30="●",B30*C30,0)+IF(O31="●",B31*C31,0)+IF(O32="●",B32*C32,0)+IF(O33="●",B33*C33,0)+IF(O34="●",B34*C34,0)</f>
        <v/>
      </c>
    </row>
    <row r="37">
      <c r="A37" s="128" t="inlineStr">
        <is>
          <t>📦 OTHER</t>
        </is>
      </c>
      <c r="B37" s="77" t="n"/>
      <c r="C37" s="77" t="n"/>
      <c r="D37" s="77" t="n"/>
      <c r="E37" s="77" t="n"/>
      <c r="F37" s="77" t="n"/>
      <c r="G37" s="77" t="n"/>
      <c r="H37" s="77" t="n"/>
      <c r="I37" s="77" t="n"/>
      <c r="J37" s="77" t="n"/>
      <c r="K37" s="77" t="n"/>
    </row>
    <row r="38">
      <c r="A38" s="109" t="inlineStr">
        <is>
          <t>Insurance / Tips / Contingency</t>
        </is>
      </c>
      <c r="B38" s="83" t="n">
        <v>4</v>
      </c>
      <c r="C38" s="84">
        <f>IF(A38="","",VLOOKUP(A38,'Master Data'!$A$50:$C$56,2,FALSE))</f>
        <v/>
      </c>
      <c r="D38" s="84">
        <f>IF(A38="","",VLOOKUP(A38,'Master Data'!$A$50:$C$56,3,FALSE))</f>
        <v/>
      </c>
      <c r="E38" s="137">
        <f>IF(D38&gt;0,(D38-C38)/D38,0)</f>
        <v/>
      </c>
      <c r="F38" s="145" t="inlineStr"/>
      <c r="G38" s="145" t="inlineStr"/>
      <c r="H38" s="145" t="inlineStr"/>
      <c r="I38" s="145" t="inlineStr"/>
      <c r="J38" s="84">
        <f>IF(A38="","",IF(OR((F38="●")+(G38="●")+(H38="●")+(I38="●")+(L38="●")+(M38="●")+(N38="●")+(O38="●")),B38*C38,0))</f>
        <v/>
      </c>
      <c r="K38" s="84">
        <f>IF(A38="","",IF(OR((F38="●")+(G38="●")+(H38="●")+(I38="●")+(L38="●")+(M38="●")+(N38="●")+(O38="●")),B38*D38,0))</f>
        <v/>
      </c>
      <c r="L38" s="145" t="inlineStr"/>
      <c r="M38" s="145" t="inlineStr"/>
      <c r="N38" s="145" t="inlineStr"/>
      <c r="O38" s="145" t="inlineStr"/>
      <c r="Q38" s="81">
        <f>0</f>
        <v/>
      </c>
      <c r="R38" s="81" t="inlineStr">
        <is>
          <t>pg</t>
        </is>
      </c>
    </row>
    <row r="39">
      <c r="A39" s="129" t="inlineStr"/>
      <c r="B39" s="83" t="inlineStr"/>
      <c r="C39" s="84">
        <f>IF(A39="","",VLOOKUP(A39,'Master Data'!$A$50:$C$56,2,FALSE))</f>
        <v/>
      </c>
      <c r="D39" s="84">
        <f>IF(A39="","",VLOOKUP(A39,'Master Data'!$A$50:$C$56,3,FALSE))</f>
        <v/>
      </c>
      <c r="E39" s="137">
        <f>IF(D39&gt;0,(D39-C39)/D39,0)</f>
        <v/>
      </c>
      <c r="F39" s="145" t="inlineStr"/>
      <c r="G39" s="145" t="inlineStr"/>
      <c r="H39" s="145" t="inlineStr"/>
      <c r="I39" s="145" t="inlineStr"/>
      <c r="J39" s="84">
        <f>IF(A39="","",(COUNTIF(F39,"●")+COUNTIF(G39,"●")+COUNTIF(H39,"●")+COUNTIF(I39,"●")+COUNTIF(L39,"●")+COUNTIF(M39,"●")+COUNTIF(N39,"●")+COUNTIF(O39,"●"))*B39*C39)</f>
        <v/>
      </c>
      <c r="K39" s="84">
        <f>IF(A39="","",(COUNTIF(F39,"●")+COUNTIF(G39,"●")+COUNTIF(H39,"●")+COUNTIF(I39,"●")+COUNTIF(L39,"●")+COUNTIF(M39,"●")+COUNTIF(N39,"●")+COUNTIF(O39,"●"))*B39*D39)</f>
        <v/>
      </c>
      <c r="L39" s="145" t="inlineStr"/>
      <c r="M39" s="145" t="inlineStr"/>
      <c r="N39" s="145" t="inlineStr"/>
      <c r="O39" s="145" t="inlineStr"/>
      <c r="Q39" s="81">
        <f>IF(A39="",0,COUNTIF(A$38:A38,A39))</f>
        <v/>
      </c>
      <c r="R39" s="81" t="inlineStr"/>
    </row>
    <row r="40">
      <c r="A40" s="129" t="inlineStr"/>
      <c r="B40" s="83" t="inlineStr"/>
      <c r="C40" s="84">
        <f>IF(A40="","",VLOOKUP(A40,'Master Data'!$A$50:$C$56,2,FALSE))</f>
        <v/>
      </c>
      <c r="D40" s="84">
        <f>IF(A40="","",VLOOKUP(A40,'Master Data'!$A$50:$C$56,3,FALSE))</f>
        <v/>
      </c>
      <c r="E40" s="137">
        <f>IF(D40&gt;0,(D40-C40)/D40,0)</f>
        <v/>
      </c>
      <c r="F40" s="145" t="inlineStr"/>
      <c r="G40" s="145" t="inlineStr"/>
      <c r="H40" s="145" t="inlineStr"/>
      <c r="I40" s="145" t="inlineStr"/>
      <c r="J40" s="84">
        <f>IF(A40="","",(COUNTIF(F40,"●")+COUNTIF(G40,"●")+COUNTIF(H40,"●")+COUNTIF(I40,"●")+COUNTIF(L40,"●")+COUNTIF(M40,"●")+COUNTIF(N40,"●")+COUNTIF(O40,"●"))*B40*C40)</f>
        <v/>
      </c>
      <c r="K40" s="84">
        <f>IF(A40="","",(COUNTIF(F40,"●")+COUNTIF(G40,"●")+COUNTIF(H40,"●")+COUNTIF(I40,"●")+COUNTIF(L40,"●")+COUNTIF(M40,"●")+COUNTIF(N40,"●")+COUNTIF(O40,"●"))*B40*D40)</f>
        <v/>
      </c>
      <c r="L40" s="145" t="inlineStr"/>
      <c r="M40" s="145" t="inlineStr"/>
      <c r="N40" s="145" t="inlineStr"/>
      <c r="O40" s="145" t="inlineStr"/>
      <c r="Q40" s="81">
        <f>IF(A40="",0,COUNTIF(A$38:A39,A40))</f>
        <v/>
      </c>
      <c r="R40" s="81" t="inlineStr"/>
    </row>
    <row r="41">
      <c r="A41" s="123" t="inlineStr">
        <is>
          <t>SUBTOTAL</t>
        </is>
      </c>
      <c r="B41" s="114" t="inlineStr"/>
      <c r="C41" s="114" t="inlineStr"/>
      <c r="D41" s="114" t="inlineStr"/>
      <c r="E41" s="114" t="inlineStr"/>
      <c r="F41" s="130">
        <f>IF(OR(F38="●"),B38*C38,0)+IF(F39="●",B39*C39,0)+IF(F40="●",B40*C40,0)</f>
        <v/>
      </c>
      <c r="G41" s="130">
        <f>IF(OR(G38="●"),B38*C38,0)+IF(G39="●",B39*C39,0)+IF(G40="●",B40*C40,0)</f>
        <v/>
      </c>
      <c r="H41" s="130">
        <f>IF(OR(H38="●"),B38*C38,0)+IF(H39="●",B39*C39,0)+IF(H40="●",B40*C40,0)</f>
        <v/>
      </c>
      <c r="I41" s="130">
        <f>IF(OR(I38="●"),B38*C38,0)+IF(I39="●",B39*C39,0)+IF(I40="●",B40*C40,0)</f>
        <v/>
      </c>
      <c r="J41" s="88">
        <f>SUM(J38:J40)</f>
        <v/>
      </c>
      <c r="K41" s="88">
        <f>SUM(K38:K40)</f>
        <v/>
      </c>
      <c r="L41" s="130">
        <f>IF(OR(L38="●"),B38*C38,0)+IF(L39="●",B39*C39,0)+IF(L40="●",B40*C40,0)</f>
        <v/>
      </c>
      <c r="M41" s="130">
        <f>IF(OR(M38="●"),B38*C38,0)+IF(M39="●",B39*C39,0)+IF(M40="●",B40*C40,0)</f>
        <v/>
      </c>
      <c r="N41" s="130">
        <f>IF(OR(N38="●"),B38*C38,0)+IF(N39="●",B39*C39,0)+IF(N40="●",B40*C40,0)</f>
        <v/>
      </c>
      <c r="O41" s="130">
        <f>IF(OR(O38="●"),B38*C38,0)+IF(O39="●",B39*C39,0)+IF(O40="●",B40*C40,0)</f>
        <v/>
      </c>
    </row>
    <row r="43">
      <c r="A43" s="128" t="inlineStr">
        <is>
          <t>🎯 ACTIVITIES</t>
        </is>
      </c>
      <c r="B43" s="77" t="n"/>
      <c r="C43" s="77" t="n"/>
      <c r="D43" s="77" t="n"/>
      <c r="E43" s="77" t="n"/>
      <c r="F43" s="77" t="n"/>
      <c r="G43" s="77" t="n"/>
      <c r="H43" s="77" t="n"/>
      <c r="I43" s="77" t="n"/>
      <c r="J43" s="77" t="n"/>
      <c r="K43" s="77" t="n"/>
    </row>
    <row r="44">
      <c r="A44" s="109" t="inlineStr">
        <is>
          <t>Beach/Surf Lesson</t>
        </is>
      </c>
      <c r="B44" s="83" t="n">
        <v>1</v>
      </c>
      <c r="C44" s="84">
        <f>IF(A44="","",VLOOKUP(A44,'Master Data'!$A$86:$C$94,2,FALSE))</f>
        <v/>
      </c>
      <c r="D44" s="84">
        <f>IF(A44="","",VLOOKUP(A44,'Master Data'!$A$86:$C$94,3,FALSE))</f>
        <v/>
      </c>
      <c r="E44" s="137">
        <f>IF(D44&gt;0,(D44-C44)/D44,0)</f>
        <v/>
      </c>
      <c r="F44" s="145" t="inlineStr"/>
      <c r="G44" s="145" t="inlineStr"/>
      <c r="H44" s="145" t="inlineStr"/>
      <c r="I44" s="145" t="inlineStr"/>
      <c r="J44" s="84">
        <f>IF(A44="","",(COUNTIF(F44,"●")+COUNTIF(G44,"●")+COUNTIF(H44,"●")+COUNTIF(I44,"●")+COUNTIF(L44,"●")+COUNTIF(M44,"●")+COUNTIF(N44,"●")+COUNTIF(O44,"●"))*B44*C44)</f>
        <v/>
      </c>
      <c r="K44" s="84">
        <f>IF(A44="","",(COUNTIF(F44,"●")+COUNTIF(G44,"●")+COUNTIF(H44,"●")+COUNTIF(I44,"●")+COUNTIF(L44,"●")+COUNTIF(M44,"●")+COUNTIF(N44,"●")+COUNTIF(O44,"●"))*B44*D44)</f>
        <v/>
      </c>
      <c r="L44" s="145" t="inlineStr"/>
      <c r="M44" s="145" t="inlineStr"/>
      <c r="N44" s="145" t="inlineStr"/>
      <c r="O44" s="145" t="inlineStr"/>
      <c r="Q44" s="81">
        <f>0</f>
        <v/>
      </c>
      <c r="R44" s="81" t="inlineStr">
        <is>
          <t>pp</t>
        </is>
      </c>
    </row>
    <row r="45">
      <c r="A45" s="108" t="inlineStr">
        <is>
          <t>Local Hiking (Griffith/Runyon)</t>
        </is>
      </c>
      <c r="B45" s="83" t="n">
        <v>1</v>
      </c>
      <c r="C45" s="84">
        <f>IF(A45="","",VLOOKUP(A45,'Master Data'!$A$86:$C$94,2,FALSE))</f>
        <v/>
      </c>
      <c r="D45" s="84">
        <f>IF(A45="","",VLOOKUP(A45,'Master Data'!$A$86:$C$94,3,FALSE))</f>
        <v/>
      </c>
      <c r="E45" s="137">
        <f>IF(D45&gt;0,(D45-C45)/D45,0)</f>
        <v/>
      </c>
      <c r="F45" s="145" t="inlineStr"/>
      <c r="G45" s="145" t="inlineStr"/>
      <c r="H45" s="145" t="inlineStr"/>
      <c r="I45" s="145" t="inlineStr"/>
      <c r="J45" s="84">
        <f>IF(A45="","",(COUNTIF(F45,"●")+COUNTIF(G45,"●")+COUNTIF(H45,"●")+COUNTIF(I45,"●")+COUNTIF(L45,"●")+COUNTIF(M45,"●")+COUNTIF(N45,"●")+COUNTIF(O45,"●"))*B45*C45)</f>
        <v/>
      </c>
      <c r="K45" s="84">
        <f>IF(A45="","",(COUNTIF(F45,"●")+COUNTIF(G45,"●")+COUNTIF(H45,"●")+COUNTIF(I45,"●")+COUNTIF(L45,"●")+COUNTIF(M45,"●")+COUNTIF(N45,"●")+COUNTIF(O45,"●"))*B45*D45)</f>
        <v/>
      </c>
      <c r="L45" s="145" t="inlineStr"/>
      <c r="M45" s="145" t="inlineStr"/>
      <c r="N45" s="145" t="inlineStr"/>
      <c r="O45" s="145" t="inlineStr"/>
      <c r="Q45" s="81">
        <f>IF(A45="",0,COUNTIF(A$44:A44,A45))</f>
        <v/>
      </c>
      <c r="R45" s="81" t="inlineStr">
        <is>
          <t>pp</t>
        </is>
      </c>
    </row>
    <row r="46">
      <c r="A46" s="109" t="inlineStr">
        <is>
          <t>NBA/MLB Game (Ticket)</t>
        </is>
      </c>
      <c r="B46" s="83" t="n">
        <v>1</v>
      </c>
      <c r="C46" s="84">
        <f>IF(A46="","",VLOOKUP(A46,'Master Data'!$A$86:$C$94,2,FALSE))</f>
        <v/>
      </c>
      <c r="D46" s="84">
        <f>IF(A46="","",VLOOKUP(A46,'Master Data'!$A$86:$C$94,3,FALSE))</f>
        <v/>
      </c>
      <c r="E46" s="137">
        <f>IF(D46&gt;0,(D46-C46)/D46,0)</f>
        <v/>
      </c>
      <c r="F46" s="145" t="inlineStr"/>
      <c r="G46" s="145" t="inlineStr"/>
      <c r="H46" s="145" t="inlineStr"/>
      <c r="I46" s="145" t="inlineStr"/>
      <c r="J46" s="84">
        <f>IF(A46="","",(COUNTIF(F46,"●")+COUNTIF(G46,"●")+COUNTIF(H46,"●")+COUNTIF(I46,"●")+COUNTIF(L46,"●")+COUNTIF(M46,"●")+COUNTIF(N46,"●")+COUNTIF(O46,"●"))*B46*C46)</f>
        <v/>
      </c>
      <c r="K46" s="84">
        <f>IF(A46="","",(COUNTIF(F46,"●")+COUNTIF(G46,"●")+COUNTIF(H46,"●")+COUNTIF(I46,"●")+COUNTIF(L46,"●")+COUNTIF(M46,"●")+COUNTIF(N46,"●")+COUNTIF(O46,"●"))*B46*D46)</f>
        <v/>
      </c>
      <c r="L46" s="145" t="inlineStr"/>
      <c r="M46" s="145" t="inlineStr"/>
      <c r="N46" s="145" t="inlineStr"/>
      <c r="O46" s="145" t="inlineStr"/>
      <c r="Q46" s="81">
        <f>IF(A46="",0,COUNTIF(A$44:A45,A46))</f>
        <v/>
      </c>
      <c r="R46" s="81" t="inlineStr">
        <is>
          <t>pp</t>
        </is>
      </c>
    </row>
    <row r="47">
      <c r="A47" s="108" t="inlineStr">
        <is>
          <t>Sports Bar Experience</t>
        </is>
      </c>
      <c r="B47" s="83" t="n">
        <v>1</v>
      </c>
      <c r="C47" s="84">
        <f>IF(A47="","",VLOOKUP(A47,'Master Data'!$A$86:$C$94,2,FALSE))</f>
        <v/>
      </c>
      <c r="D47" s="84">
        <f>IF(A47="","",VLOOKUP(A47,'Master Data'!$A$86:$C$94,3,FALSE))</f>
        <v/>
      </c>
      <c r="E47" s="137">
        <f>IF(D47&gt;0,(D47-C47)/D47,0)</f>
        <v/>
      </c>
      <c r="F47" s="145" t="inlineStr"/>
      <c r="G47" s="145" t="inlineStr"/>
      <c r="H47" s="145" t="inlineStr"/>
      <c r="I47" s="145" t="inlineStr"/>
      <c r="J47" s="84">
        <f>IF(A47="","",(COUNTIF(F47,"●")+COUNTIF(G47,"●")+COUNTIF(H47,"●")+COUNTIF(I47,"●")+COUNTIF(L47,"●")+COUNTIF(M47,"●")+COUNTIF(N47,"●")+COUNTIF(O47,"●"))*B47*C47)</f>
        <v/>
      </c>
      <c r="K47" s="84">
        <f>IF(A47="","",(COUNTIF(F47,"●")+COUNTIF(G47,"●")+COUNTIF(H47,"●")+COUNTIF(I47,"●")+COUNTIF(L47,"●")+COUNTIF(M47,"●")+COUNTIF(N47,"●")+COUNTIF(O47,"●"))*B47*D47)</f>
        <v/>
      </c>
      <c r="L47" s="145" t="inlineStr"/>
      <c r="M47" s="145" t="inlineStr"/>
      <c r="N47" s="145" t="inlineStr"/>
      <c r="O47" s="145" t="inlineStr"/>
      <c r="Q47" s="81">
        <f>IF(A47="",0,COUNTIF(A$44:A46,A47))</f>
        <v/>
      </c>
      <c r="R47" s="81" t="inlineStr">
        <is>
          <t>pp</t>
        </is>
      </c>
    </row>
    <row r="48">
      <c r="A48" s="129" t="inlineStr"/>
      <c r="B48" s="83" t="inlineStr"/>
      <c r="C48" s="84">
        <f>IF(A48="","",VLOOKUP(A48,'Master Data'!$A$86:$C$94,2,FALSE))</f>
        <v/>
      </c>
      <c r="D48" s="84">
        <f>IF(A48="","",VLOOKUP(A48,'Master Data'!$A$86:$C$94,3,FALSE))</f>
        <v/>
      </c>
      <c r="E48" s="137">
        <f>IF(D48&gt;0,(D48-C48)/D48,0)</f>
        <v/>
      </c>
      <c r="F48" s="145" t="inlineStr"/>
      <c r="G48" s="145" t="inlineStr"/>
      <c r="H48" s="145" t="inlineStr"/>
      <c r="I48" s="145" t="inlineStr"/>
      <c r="J48" s="84">
        <f>IF(A48="","",(COUNTIF(F48,"●")+COUNTIF(G48,"●")+COUNTIF(H48,"●")+COUNTIF(I48,"●")+COUNTIF(L48,"●")+COUNTIF(M48,"●")+COUNTIF(N48,"●")+COUNTIF(O48,"●"))*B48*C48)</f>
        <v/>
      </c>
      <c r="K48" s="84">
        <f>IF(A48="","",(COUNTIF(F48,"●")+COUNTIF(G48,"●")+COUNTIF(H48,"●")+COUNTIF(I48,"●")+COUNTIF(L48,"●")+COUNTIF(M48,"●")+COUNTIF(N48,"●")+COUNTIF(O48,"●"))*B48*D48)</f>
        <v/>
      </c>
      <c r="L48" s="145" t="inlineStr"/>
      <c r="M48" s="145" t="inlineStr"/>
      <c r="N48" s="145" t="inlineStr"/>
      <c r="O48" s="145" t="inlineStr"/>
      <c r="Q48" s="81">
        <f>IF(A48="",0,COUNTIF(A$44:A47,A48))</f>
        <v/>
      </c>
      <c r="R48" s="81" t="inlineStr"/>
    </row>
    <row r="49">
      <c r="A49" s="129" t="inlineStr"/>
      <c r="B49" s="83" t="inlineStr"/>
      <c r="C49" s="84">
        <f>IF(A49="","",VLOOKUP(A49,'Master Data'!$A$86:$C$94,2,FALSE))</f>
        <v/>
      </c>
      <c r="D49" s="84">
        <f>IF(A49="","",VLOOKUP(A49,'Master Data'!$A$86:$C$94,3,FALSE))</f>
        <v/>
      </c>
      <c r="E49" s="137">
        <f>IF(D49&gt;0,(D49-C49)/D49,0)</f>
        <v/>
      </c>
      <c r="F49" s="145" t="inlineStr"/>
      <c r="G49" s="145" t="inlineStr"/>
      <c r="H49" s="145" t="inlineStr"/>
      <c r="I49" s="145" t="inlineStr"/>
      <c r="J49" s="84">
        <f>IF(A49="","",(COUNTIF(F49,"●")+COUNTIF(G49,"●")+COUNTIF(H49,"●")+COUNTIF(I49,"●")+COUNTIF(L49,"●")+COUNTIF(M49,"●")+COUNTIF(N49,"●")+COUNTIF(O49,"●"))*B49*C49)</f>
        <v/>
      </c>
      <c r="K49" s="84">
        <f>IF(A49="","",(COUNTIF(F49,"●")+COUNTIF(G49,"●")+COUNTIF(H49,"●")+COUNTIF(I49,"●")+COUNTIF(L49,"●")+COUNTIF(M49,"●")+COUNTIF(N49,"●")+COUNTIF(O49,"●"))*B49*D49)</f>
        <v/>
      </c>
      <c r="L49" s="145" t="inlineStr"/>
      <c r="M49" s="145" t="inlineStr"/>
      <c r="N49" s="145" t="inlineStr"/>
      <c r="O49" s="145" t="inlineStr"/>
      <c r="Q49" s="81">
        <f>IF(A49="",0,COUNTIF(A$44:A48,A49))</f>
        <v/>
      </c>
      <c r="R49" s="81" t="inlineStr"/>
    </row>
    <row r="50">
      <c r="A50" s="129" t="inlineStr"/>
      <c r="B50" s="83" t="inlineStr"/>
      <c r="C50" s="84">
        <f>IF(A50="","",VLOOKUP(A50,'Master Data'!$A$86:$C$94,2,FALSE))</f>
        <v/>
      </c>
      <c r="D50" s="84">
        <f>IF(A50="","",VLOOKUP(A50,'Master Data'!$A$86:$C$94,3,FALSE))</f>
        <v/>
      </c>
      <c r="E50" s="137">
        <f>IF(D50&gt;0,(D50-C50)/D50,0)</f>
        <v/>
      </c>
      <c r="F50" s="145" t="inlineStr"/>
      <c r="G50" s="145" t="inlineStr"/>
      <c r="H50" s="145" t="inlineStr"/>
      <c r="I50" s="145" t="inlineStr"/>
      <c r="J50" s="84">
        <f>IF(A50="","",(COUNTIF(F50,"●")+COUNTIF(G50,"●")+COUNTIF(H50,"●")+COUNTIF(I50,"●")+COUNTIF(L50,"●")+COUNTIF(M50,"●")+COUNTIF(N50,"●")+COUNTIF(O50,"●"))*B50*C50)</f>
        <v/>
      </c>
      <c r="K50" s="84">
        <f>IF(A50="","",(COUNTIF(F50,"●")+COUNTIF(G50,"●")+COUNTIF(H50,"●")+COUNTIF(I50,"●")+COUNTIF(L50,"●")+COUNTIF(M50,"●")+COUNTIF(N50,"●")+COUNTIF(O50,"●"))*B50*D50)</f>
        <v/>
      </c>
      <c r="L50" s="145" t="inlineStr"/>
      <c r="M50" s="145" t="inlineStr"/>
      <c r="N50" s="145" t="inlineStr"/>
      <c r="O50" s="145" t="inlineStr"/>
      <c r="Q50" s="81">
        <f>IF(A50="",0,COUNTIF(A$44:A49,A50))</f>
        <v/>
      </c>
      <c r="R50" s="81" t="inlineStr"/>
    </row>
    <row r="51">
      <c r="A51" s="129" t="inlineStr"/>
      <c r="B51" s="83" t="inlineStr"/>
      <c r="C51" s="84">
        <f>IF(A51="","",VLOOKUP(A51,'Master Data'!$A$86:$C$94,2,FALSE))</f>
        <v/>
      </c>
      <c r="D51" s="84">
        <f>IF(A51="","",VLOOKUP(A51,'Master Data'!$A$86:$C$94,3,FALSE))</f>
        <v/>
      </c>
      <c r="E51" s="137">
        <f>IF(D51&gt;0,(D51-C51)/D51,0)</f>
        <v/>
      </c>
      <c r="F51" s="145" t="inlineStr"/>
      <c r="G51" s="145" t="inlineStr"/>
      <c r="H51" s="145" t="inlineStr"/>
      <c r="I51" s="145" t="inlineStr"/>
      <c r="J51" s="84">
        <f>IF(A51="","",(COUNTIF(F51,"●")+COUNTIF(G51,"●")+COUNTIF(H51,"●")+COUNTIF(I51,"●")+COUNTIF(L51,"●")+COUNTIF(M51,"●")+COUNTIF(N51,"●")+COUNTIF(O51,"●"))*B51*C51)</f>
        <v/>
      </c>
      <c r="K51" s="84">
        <f>IF(A51="","",(COUNTIF(F51,"●")+COUNTIF(G51,"●")+COUNTIF(H51,"●")+COUNTIF(I51,"●")+COUNTIF(L51,"●")+COUNTIF(M51,"●")+COUNTIF(N51,"●")+COUNTIF(O51,"●"))*B51*D51)</f>
        <v/>
      </c>
      <c r="L51" s="145" t="inlineStr"/>
      <c r="M51" s="145" t="inlineStr"/>
      <c r="N51" s="145" t="inlineStr"/>
      <c r="O51" s="145" t="inlineStr"/>
      <c r="Q51" s="81">
        <f>IF(A51="",0,COUNTIF(A$44:A50,A51))</f>
        <v/>
      </c>
      <c r="R51" s="81" t="inlineStr"/>
    </row>
    <row r="52">
      <c r="A52" s="129" t="inlineStr"/>
      <c r="B52" s="83" t="inlineStr"/>
      <c r="C52" s="84">
        <f>IF(A52="","",VLOOKUP(A52,'Master Data'!$A$86:$C$94,2,FALSE))</f>
        <v/>
      </c>
      <c r="D52" s="84">
        <f>IF(A52="","",VLOOKUP(A52,'Master Data'!$A$86:$C$94,3,FALSE))</f>
        <v/>
      </c>
      <c r="E52" s="137">
        <f>IF(D52&gt;0,(D52-C52)/D52,0)</f>
        <v/>
      </c>
      <c r="F52" s="145" t="inlineStr"/>
      <c r="G52" s="145" t="inlineStr"/>
      <c r="H52" s="145" t="inlineStr"/>
      <c r="I52" s="145" t="inlineStr"/>
      <c r="J52" s="84">
        <f>IF(A52="","",(COUNTIF(F52,"●")+COUNTIF(G52,"●")+COUNTIF(H52,"●")+COUNTIF(I52,"●")+COUNTIF(L52,"●")+COUNTIF(M52,"●")+COUNTIF(N52,"●")+COUNTIF(O52,"●"))*B52*C52)</f>
        <v/>
      </c>
      <c r="K52" s="84">
        <f>IF(A52="","",(COUNTIF(F52,"●")+COUNTIF(G52,"●")+COUNTIF(H52,"●")+COUNTIF(I52,"●")+COUNTIF(L52,"●")+COUNTIF(M52,"●")+COUNTIF(N52,"●")+COUNTIF(O52,"●"))*B52*D52)</f>
        <v/>
      </c>
      <c r="L52" s="145" t="inlineStr"/>
      <c r="M52" s="145" t="inlineStr"/>
      <c r="N52" s="145" t="inlineStr"/>
      <c r="O52" s="145" t="inlineStr"/>
      <c r="Q52" s="81">
        <f>IF(A52="",0,COUNTIF(A$44:A51,A52))</f>
        <v/>
      </c>
      <c r="R52" s="81" t="inlineStr"/>
    </row>
    <row r="53">
      <c r="A53" s="123" t="inlineStr">
        <is>
          <t>SUBTOTAL</t>
        </is>
      </c>
      <c r="B53" s="114" t="inlineStr"/>
      <c r="C53" s="114" t="inlineStr"/>
      <c r="D53" s="114" t="inlineStr"/>
      <c r="E53" s="114" t="inlineStr"/>
      <c r="F53" s="130">
        <f>IF(F44="●",B44*C44,0)+IF(F45="●",B45*C45,0)+IF(F46="●",B46*C46,0)+IF(F47="●",B47*C47,0)+IF(F48="●",B48*C48,0)+IF(F49="●",B49*C49,0)+IF(F50="●",B50*C50,0)+IF(F51="●",B51*C51,0)+IF(F52="●",B52*C52,0)</f>
        <v/>
      </c>
      <c r="G53" s="130">
        <f>IF(G44="●",B44*C44,0)+IF(G45="●",B45*C45,0)+IF(G46="●",B46*C46,0)+IF(G47="●",B47*C47,0)+IF(G48="●",B48*C48,0)+IF(G49="●",B49*C49,0)+IF(G50="●",B50*C50,0)+IF(G51="●",B51*C51,0)+IF(G52="●",B52*C52,0)</f>
        <v/>
      </c>
      <c r="H53" s="130">
        <f>IF(H44="●",B44*C44,0)+IF(H45="●",B45*C45,0)+IF(H46="●",B46*C46,0)+IF(H47="●",B47*C47,0)+IF(H48="●",B48*C48,0)+IF(H49="●",B49*C49,0)+IF(H50="●",B50*C50,0)+IF(H51="●",B51*C51,0)+IF(H52="●",B52*C52,0)</f>
        <v/>
      </c>
      <c r="I53" s="130">
        <f>IF(I44="●",B44*C44,0)+IF(I45="●",B45*C45,0)+IF(I46="●",B46*C46,0)+IF(I47="●",B47*C47,0)+IF(I48="●",B48*C48,0)+IF(I49="●",B49*C49,0)+IF(I50="●",B50*C50,0)+IF(I51="●",B51*C51,0)+IF(I52="●",B52*C52,0)</f>
        <v/>
      </c>
      <c r="J53" s="88">
        <f>SUM(J44:J52)</f>
        <v/>
      </c>
      <c r="K53" s="88">
        <f>SUM(K44:K52)</f>
        <v/>
      </c>
      <c r="L53" s="130">
        <f>IF(L44="●",B44*C44,0)+IF(L45="●",B45*C45,0)+IF(L46="●",B46*C46,0)+IF(L47="●",B47*C47,0)+IF(L48="●",B48*C48,0)+IF(L49="●",B49*C49,0)+IF(L50="●",B50*C50,0)+IF(L51="●",B51*C51,0)+IF(L52="●",B52*C52,0)</f>
        <v/>
      </c>
      <c r="M53" s="130">
        <f>IF(M44="●",B44*C44,0)+IF(M45="●",B45*C45,0)+IF(M46="●",B46*C46,0)+IF(M47="●",B47*C47,0)+IF(M48="●",B48*C48,0)+IF(M49="●",B49*C49,0)+IF(M50="●",B50*C50,0)+IF(M51="●",B51*C51,0)+IF(M52="●",B52*C52,0)</f>
        <v/>
      </c>
      <c r="N53" s="130">
        <f>IF(N44="●",B44*C44,0)+IF(N45="●",B45*C45,0)+IF(N46="●",B46*C46,0)+IF(N47="●",B47*C47,0)+IF(N48="●",B48*C48,0)+IF(N49="●",B49*C49,0)+IF(N50="●",B50*C50,0)+IF(N51="●",B51*C51,0)+IF(N52="●",B52*C52,0)</f>
        <v/>
      </c>
      <c r="O53" s="130">
        <f>IF(O44="●",B44*C44,0)+IF(O45="●",B45*C45,0)+IF(O46="●",B46*C46,0)+IF(O47="●",B47*C47,0)+IF(O48="●",B48*C48,0)+IF(O49="●",B49*C49,0)+IF(O50="●",B50*C50,0)+IF(O51="●",B51*C51,0)+IF(O52="●",B52*C52,0)</f>
        <v/>
      </c>
    </row>
    <row r="56">
      <c r="A56" s="103" t="inlineStr">
        <is>
          <t>🏆 GRAND TOTAL</t>
        </is>
      </c>
      <c r="B56" s="104" t="n"/>
    </row>
    <row r="57">
      <c r="C57" s="104" t="n"/>
    </row>
    <row r="58">
      <c r="D58" s="104" t="n"/>
    </row>
    <row r="59">
      <c r="E59" s="104" t="n"/>
    </row>
    <row r="60">
      <c r="F60" s="104" t="n"/>
    </row>
    <row r="61">
      <c r="G61" s="104" t="n"/>
    </row>
    <row r="62">
      <c r="H62" s="104" t="n"/>
    </row>
    <row r="63">
      <c r="I63" s="104" t="n"/>
    </row>
    <row r="64">
      <c r="J64" s="104" t="n"/>
    </row>
    <row r="65">
      <c r="K65" s="104" t="n"/>
    </row>
    <row r="66">
      <c r="A66" s="108" t="inlineStr">
        <is>
          <t>GOLF</t>
        </is>
      </c>
      <c r="J66" s="84">
        <f>J15</f>
        <v/>
      </c>
      <c r="K66" s="84">
        <f>K15</f>
        <v/>
      </c>
    </row>
    <row r="67">
      <c r="A67" s="108" t="inlineStr">
        <is>
          <t>HOTEL</t>
        </is>
      </c>
      <c r="J67" s="84">
        <f>J21</f>
        <v/>
      </c>
      <c r="K67" s="84">
        <f>K21</f>
        <v/>
      </c>
    </row>
    <row r="68">
      <c r="A68" s="108" t="inlineStr">
        <is>
          <t>TRANSPORT</t>
        </is>
      </c>
      <c r="J68" s="84">
        <f>J27</f>
        <v/>
      </c>
      <c r="K68" s="84">
        <f>K27</f>
        <v/>
      </c>
    </row>
    <row r="69">
      <c r="A69" s="108" t="inlineStr">
        <is>
          <t xml:space="preserve"> MEALS</t>
        </is>
      </c>
      <c r="J69" s="84">
        <f>J35</f>
        <v/>
      </c>
      <c r="K69" s="84">
        <f>K35</f>
        <v/>
      </c>
    </row>
    <row r="70">
      <c r="A70" s="108" t="inlineStr">
        <is>
          <t>OTHER</t>
        </is>
      </c>
      <c r="J70" s="84">
        <f>J41</f>
        <v/>
      </c>
      <c r="K70" s="84">
        <f>K41</f>
        <v/>
      </c>
    </row>
    <row r="71">
      <c r="A71" s="108" t="inlineStr">
        <is>
          <t>ACTIVITIES</t>
        </is>
      </c>
      <c r="J71" s="84">
        <f>J53</f>
        <v/>
      </c>
      <c r="K71" s="84">
        <f>K53</f>
        <v/>
      </c>
    </row>
    <row r="72">
      <c r="A72" s="115" t="inlineStr">
        <is>
          <t>📌 GRAND TOTAL</t>
        </is>
      </c>
      <c r="C72" s="106" t="inlineStr">
        <is>
          <t>Margin:</t>
        </is>
      </c>
      <c r="D72" s="91">
        <f>IF(K72&gt;0,(K72-J72)/K72,0)</f>
        <v/>
      </c>
      <c r="J72" s="88">
        <f>SUM(J66:J71)</f>
        <v/>
      </c>
      <c r="K72" s="88">
        <f>SUM(K66:K71)</f>
        <v/>
      </c>
    </row>
    <row r="74">
      <c r="A74" s="103" t="inlineStr">
        <is>
          <t>👤 PER PERSON</t>
        </is>
      </c>
      <c r="B74" s="104" t="n"/>
    </row>
    <row r="75">
      <c r="C75" s="104" t="n"/>
    </row>
    <row r="76">
      <c r="D76" s="104" t="n"/>
    </row>
    <row r="77">
      <c r="E77" s="104" t="n"/>
    </row>
    <row r="78">
      <c r="F78" s="104" t="n"/>
    </row>
    <row r="79">
      <c r="G79" s="104" t="n"/>
    </row>
    <row r="80">
      <c r="H80" s="104" t="n"/>
    </row>
    <row r="81">
      <c r="I81" s="104" t="n"/>
    </row>
    <row r="82">
      <c r="J82" s="104" t="n"/>
    </row>
    <row r="83">
      <c r="K83" s="104" t="n"/>
    </row>
    <row r="84">
      <c r="A84" s="98" t="inlineStr">
        <is>
          <t>Person</t>
        </is>
      </c>
      <c r="B84" s="98" t="inlineStr">
        <is>
          <t>Cost</t>
        </is>
      </c>
      <c r="C84" s="98" t="inlineStr">
        <is>
          <t>Sell</t>
        </is>
      </c>
      <c r="D84" s="98" t="inlineStr">
        <is>
          <t>Margin</t>
        </is>
      </c>
      <c r="E84" s="98" t="inlineStr">
        <is>
          <t>%</t>
        </is>
      </c>
    </row>
    <row r="85">
      <c r="A85" s="108">
        <f>F2</f>
        <v/>
      </c>
      <c r="B85" s="131">
        <f>IF(F10="●",B10*C10,0)+IF(F11="●",B11*C11,0)+IF(F12="●",B12*C12,0)+IF(F13="●",B13*C13,0)+IF(F14="●",B14*C14,0)+IF(F18="●",B18*C18,0)+IF(F19="●",B19*C19,0)+IF(F20="●",B20*C20,0)+IF(F24="●",B24*C24,0)+IF(F25="●",B25*C25,0)+IF(F26="●",B26*C26,0)+IF(F30="●",B30*C30,0)+IF(F31="●",B31*C31,0)+IF(F32="●",B32*C32,0)+IF(F33="●",B33*C33,0)+IF(F34="●",B34*C34,0)+IF(F38="●",B38*C38,0)+IF(F39="●",B39*C39,0)+IF(F40="●",B40*C40,0)+IF(F44="●",B44*C44,0)+IF(F45="●",B45*C45,0)+IF(F46="●",B46*C46,0)+IF(F47="●",B47*C47,0)+IF(F48="●",B48*C48,0)+IF(F49="●",B49*C49,0)+IF(F50="●",B50*C50,0)+IF(F51="●",B51*C51,0)+IF(F52="●",B52*C52,0)</f>
        <v/>
      </c>
      <c r="C85" s="131">
        <f>IF(F10="●",B10*D10,0)+IF(F11="●",B11*D11,0)+IF(F12="●",B12*D12,0)+IF(F13="●",B13*D13,0)+IF(F14="●",B14*D14,0)+IF(F18="●",B18*D18,0)+IF(F19="●",B19*D19,0)+IF(F20="●",B20*D20,0)+IF(F24="●",B24*D24,0)+IF(F25="●",B25*D25,0)+IF(F26="●",B26*D26,0)+IF(F30="●",B30*D30,0)+IF(F31="●",B31*D31,0)+IF(F32="●",B32*D32,0)+IF(F33="●",B33*D33,0)+IF(F34="●",B34*D34,0)+IF(F38="●",B38*D38,0)+IF(F39="●",B39*D39,0)+IF(F40="●",B40*D40,0)+IF(F44="●",B44*D44,0)+IF(F45="●",B45*D45,0)+IF(F46="●",B46*D46,0)+IF(F47="●",B47*D47,0)+IF(F48="●",B48*D48,0)+IF(F49="●",B49*D49,0)+IF(F50="●",B50*D50,0)+IF(F51="●",B51*D51,0)+IF(F52="●",B52*D52,0)</f>
        <v/>
      </c>
      <c r="D85" s="110">
        <f>C85-B85</f>
        <v/>
      </c>
      <c r="E85" s="132">
        <f>IF(C85&gt;0,D85/C85,0)</f>
        <v/>
      </c>
    </row>
    <row r="86">
      <c r="A86" s="108">
        <f>G2</f>
        <v/>
      </c>
      <c r="B86" s="131">
        <f>IF(G10="●",B10*C10,0)+IF(G11="●",B11*C11,0)+IF(G12="●",B12*C12,0)+IF(G13="●",B13*C13,0)+IF(G14="●",B14*C14,0)+IF(G18="●",B18*C18,0)+IF(G19="●",B19*C19,0)+IF(G20="●",B20*C20,0)+IF(G24="●",B24*C24,0)+IF(G25="●",B25*C25,0)+IF(G26="●",B26*C26,0)+IF(G30="●",B30*C30,0)+IF(G31="●",B31*C31,0)+IF(G32="●",B32*C32,0)+IF(G33="●",B33*C33,0)+IF(G34="●",B34*C34,0)+IF(G38="●",B38*C38,0)+IF(G39="●",B39*C39,0)+IF(G40="●",B40*C40,0)+IF(G44="●",B44*C44,0)+IF(G45="●",B45*C45,0)+IF(G46="●",B46*C46,0)+IF(G47="●",B47*C47,0)+IF(G48="●",B48*C48,0)+IF(G49="●",B49*C49,0)+IF(G50="●",B50*C50,0)+IF(G51="●",B51*C51,0)+IF(G52="●",B52*C52,0)</f>
        <v/>
      </c>
      <c r="C86" s="131">
        <f>IF(G10="●",B10*D10,0)+IF(G11="●",B11*D11,0)+IF(G12="●",B12*D12,0)+IF(G13="●",B13*D13,0)+IF(G14="●",B14*D14,0)+IF(G18="●",B18*D18,0)+IF(G19="●",B19*D19,0)+IF(G20="●",B20*D20,0)+IF(G24="●",B24*D24,0)+IF(G25="●",B25*D25,0)+IF(G26="●",B26*D26,0)+IF(G30="●",B30*D30,0)+IF(G31="●",B31*D31,0)+IF(G32="●",B32*D32,0)+IF(G33="●",B33*D33,0)+IF(G34="●",B34*D34,0)+IF(G38="●",B38*D38,0)+IF(G39="●",B39*D39,0)+IF(G40="●",B40*D40,0)+IF(G44="●",B44*D44,0)+IF(G45="●",B45*D45,0)+IF(G46="●",B46*D46,0)+IF(G47="●",B47*D47,0)+IF(G48="●",B48*D48,0)+IF(G49="●",B49*D49,0)+IF(G50="●",B50*D50,0)+IF(G51="●",B51*D51,0)+IF(G52="●",B52*D52,0)</f>
        <v/>
      </c>
      <c r="D86" s="110">
        <f>C86-B86</f>
        <v/>
      </c>
      <c r="E86" s="132">
        <f>IF(C86&gt;0,D86/C86,0)</f>
        <v/>
      </c>
    </row>
    <row r="87">
      <c r="A87" s="108">
        <f>H2</f>
        <v/>
      </c>
      <c r="B87" s="131">
        <f>IF(H10="●",B10*C10,0)+IF(H11="●",B11*C11,0)+IF(H12="●",B12*C12,0)+IF(H13="●",B13*C13,0)+IF(H14="●",B14*C14,0)+IF(H18="●",B18*C18,0)+IF(H19="●",B19*C19,0)+IF(H20="●",B20*C20,0)+IF(H24="●",B24*C24,0)+IF(H25="●",B25*C25,0)+IF(H26="●",B26*C26,0)+IF(H30="●",B30*C30,0)+IF(H31="●",B31*C31,0)+IF(H32="●",B32*C32,0)+IF(H33="●",B33*C33,0)+IF(H34="●",B34*C34,0)+IF(H38="●",B38*C38,0)+IF(H39="●",B39*C39,0)+IF(H40="●",B40*C40,0)+IF(H44="●",B44*C44,0)+IF(H45="●",B45*C45,0)+IF(H46="●",B46*C46,0)+IF(H47="●",B47*C47,0)+IF(H48="●",B48*C48,0)+IF(H49="●",B49*C49,0)+IF(H50="●",B50*C50,0)+IF(H51="●",B51*C51,0)+IF(H52="●",B52*C52,0)</f>
        <v/>
      </c>
      <c r="C87" s="131">
        <f>IF(H10="●",B10*D10,0)+IF(H11="●",B11*D11,0)+IF(H12="●",B12*D12,0)+IF(H13="●",B13*D13,0)+IF(H14="●",B14*D14,0)+IF(H18="●",B18*D18,0)+IF(H19="●",B19*D19,0)+IF(H20="●",B20*D20,0)+IF(H24="●",B24*D24,0)+IF(H25="●",B25*D25,0)+IF(H26="●",B26*D26,0)+IF(H30="●",B30*D30,0)+IF(H31="●",B31*D31,0)+IF(H32="●",B32*D32,0)+IF(H33="●",B33*D33,0)+IF(H34="●",B34*D34,0)+IF(H38="●",B38*D38,0)+IF(H39="●",B39*D39,0)+IF(H40="●",B40*D40,0)+IF(H44="●",B44*D44,0)+IF(H45="●",B45*D45,0)+IF(H46="●",B46*D46,0)+IF(H47="●",B47*D47,0)+IF(H48="●",B48*D48,0)+IF(H49="●",B49*D49,0)+IF(H50="●",B50*D50,0)+IF(H51="●",B51*D51,0)+IF(H52="●",B52*D52,0)</f>
        <v/>
      </c>
      <c r="D87" s="110">
        <f>C87-B87</f>
        <v/>
      </c>
      <c r="E87" s="132">
        <f>IF(C87&gt;0,D87/C87,0)</f>
        <v/>
      </c>
    </row>
    <row r="88">
      <c r="A88" s="108">
        <f>I2</f>
        <v/>
      </c>
      <c r="B88" s="131">
        <f>IF(I10="●",B10*C10,0)+IF(I11="●",B11*C11,0)+IF(I12="●",B12*C12,0)+IF(I13="●",B13*C13,0)+IF(I14="●",B14*C14,0)+IF(I18="●",B18*C18,0)+IF(I19="●",B19*C19,0)+IF(I20="●",B20*C20,0)+IF(I24="●",B24*C24,0)+IF(I25="●",B25*C25,0)+IF(I26="●",B26*C26,0)+IF(I30="●",B30*C30,0)+IF(I31="●",B31*C31,0)+IF(I32="●",B32*C32,0)+IF(I33="●",B33*C33,0)+IF(I34="●",B34*C34,0)+IF(I38="●",B38*C38,0)+IF(I39="●",B39*C39,0)+IF(I40="●",B40*C40,0)+IF(I44="●",B44*C44,0)+IF(I45="●",B45*C45,0)+IF(I46="●",B46*C46,0)+IF(I47="●",B47*C47,0)+IF(I48="●",B48*C48,0)+IF(I49="●",B49*C49,0)+IF(I50="●",B50*C50,0)+IF(I51="●",B51*C51,0)+IF(I52="●",B52*C52,0)</f>
        <v/>
      </c>
      <c r="C88" s="131">
        <f>IF(I10="●",B10*D10,0)+IF(I11="●",B11*D11,0)+IF(I12="●",B12*D12,0)+IF(I13="●",B13*D13,0)+IF(I14="●",B14*D14,0)+IF(I18="●",B18*D18,0)+IF(I19="●",B19*D19,0)+IF(I20="●",B20*D20,0)+IF(I24="●",B24*D24,0)+IF(I25="●",B25*D25,0)+IF(I26="●",B26*D26,0)+IF(I30="●",B30*D30,0)+IF(I31="●",B31*D31,0)+IF(I32="●",B32*D32,0)+IF(I33="●",B33*D33,0)+IF(I34="●",B34*D34,0)+IF(I38="●",B38*D38,0)+IF(I39="●",B39*D39,0)+IF(I40="●",B40*D40,0)+IF(I44="●",B44*D44,0)+IF(I45="●",B45*D45,0)+IF(I46="●",B46*D46,0)+IF(I47="●",B47*D47,0)+IF(I48="●",B48*D48,0)+IF(I49="●",B49*D49,0)+IF(I50="●",B50*D50,0)+IF(I51="●",B51*D51,0)+IF(I52="●",B52*D52,0)</f>
        <v/>
      </c>
      <c r="D88" s="110">
        <f>C88-B88</f>
        <v/>
      </c>
      <c r="E88" s="132">
        <f>IF(C88&gt;0,D88/C88,0)</f>
        <v/>
      </c>
    </row>
    <row r="89">
      <c r="A89" s="115" t="inlineStr">
        <is>
          <t>📌 TOTAL</t>
        </is>
      </c>
      <c r="B89" s="88">
        <f>SUM(B85:B88)</f>
        <v/>
      </c>
      <c r="C89" s="88">
        <f>SUM(C85:C88)</f>
        <v/>
      </c>
      <c r="D89" s="88">
        <f>SUM(D85:D88)</f>
        <v/>
      </c>
    </row>
  </sheetData>
  <mergeCells count="15">
    <mergeCell ref="A74:K74"/>
    <mergeCell ref="A56:K56"/>
    <mergeCell ref="B2:C2"/>
    <mergeCell ref="A37:K37"/>
    <mergeCell ref="A3:K3"/>
    <mergeCell ref="A23:K23"/>
    <mergeCell ref="J6:K6"/>
    <mergeCell ref="A29:K29"/>
    <mergeCell ref="E4:H4"/>
    <mergeCell ref="A43:K43"/>
    <mergeCell ref="E6:H6"/>
    <mergeCell ref="A5:K5"/>
    <mergeCell ref="A1:K1"/>
    <mergeCell ref="A17:K17"/>
    <mergeCell ref="A9:K9"/>
  </mergeCells>
  <conditionalFormatting sqref="F10">
    <cfRule type="cellIs" priority="1" operator="equal" dxfId="6">
      <formula>"●"</formula>
    </cfRule>
  </conditionalFormatting>
  <conditionalFormatting sqref="G10">
    <cfRule type="cellIs" priority="2" operator="equal" dxfId="6">
      <formula>"●"</formula>
    </cfRule>
  </conditionalFormatting>
  <conditionalFormatting sqref="H10">
    <cfRule type="cellIs" priority="3" operator="equal" dxfId="6">
      <formula>"●"</formula>
    </cfRule>
  </conditionalFormatting>
  <conditionalFormatting sqref="I10">
    <cfRule type="cellIs" priority="4" operator="equal" dxfId="6">
      <formula>"●"</formula>
    </cfRule>
  </conditionalFormatting>
  <conditionalFormatting sqref="Q10">
    <cfRule type="cellIs" priority="5" operator="greaterThan" dxfId="3">
      <formula>0</formula>
    </cfRule>
  </conditionalFormatting>
  <conditionalFormatting sqref="F11">
    <cfRule type="cellIs" priority="6" operator="equal" dxfId="6">
      <formula>"●"</formula>
    </cfRule>
  </conditionalFormatting>
  <conditionalFormatting sqref="G11">
    <cfRule type="cellIs" priority="7" operator="equal" dxfId="6">
      <formula>"●"</formula>
    </cfRule>
  </conditionalFormatting>
  <conditionalFormatting sqref="H11">
    <cfRule type="cellIs" priority="8" operator="equal" dxfId="6">
      <formula>"●"</formula>
    </cfRule>
  </conditionalFormatting>
  <conditionalFormatting sqref="I11">
    <cfRule type="cellIs" priority="9" operator="equal" dxfId="6">
      <formula>"●"</formula>
    </cfRule>
  </conditionalFormatting>
  <conditionalFormatting sqref="Q11">
    <cfRule type="cellIs" priority="10" operator="greaterThan" dxfId="3">
      <formula>0</formula>
    </cfRule>
  </conditionalFormatting>
  <conditionalFormatting sqref="F12">
    <cfRule type="cellIs" priority="11" operator="equal" dxfId="6">
      <formula>"●"</formula>
    </cfRule>
  </conditionalFormatting>
  <conditionalFormatting sqref="G12">
    <cfRule type="cellIs" priority="12" operator="equal" dxfId="6">
      <formula>"●"</formula>
    </cfRule>
  </conditionalFormatting>
  <conditionalFormatting sqref="H12">
    <cfRule type="cellIs" priority="13" operator="equal" dxfId="6">
      <formula>"●"</formula>
    </cfRule>
  </conditionalFormatting>
  <conditionalFormatting sqref="I12">
    <cfRule type="cellIs" priority="14" operator="equal" dxfId="6">
      <formula>"●"</formula>
    </cfRule>
  </conditionalFormatting>
  <conditionalFormatting sqref="Q12">
    <cfRule type="cellIs" priority="15" operator="greaterThan" dxfId="3">
      <formula>0</formula>
    </cfRule>
  </conditionalFormatting>
  <conditionalFormatting sqref="F13">
    <cfRule type="cellIs" priority="16" operator="equal" dxfId="6">
      <formula>"●"</formula>
    </cfRule>
  </conditionalFormatting>
  <conditionalFormatting sqref="G13">
    <cfRule type="cellIs" priority="17" operator="equal" dxfId="6">
      <formula>"●"</formula>
    </cfRule>
  </conditionalFormatting>
  <conditionalFormatting sqref="H13">
    <cfRule type="cellIs" priority="18" operator="equal" dxfId="6">
      <formula>"●"</formula>
    </cfRule>
  </conditionalFormatting>
  <conditionalFormatting sqref="I13">
    <cfRule type="cellIs" priority="19" operator="equal" dxfId="6">
      <formula>"●"</formula>
    </cfRule>
  </conditionalFormatting>
  <conditionalFormatting sqref="Q13">
    <cfRule type="cellIs" priority="20" operator="greaterThan" dxfId="3">
      <formula>0</formula>
    </cfRule>
  </conditionalFormatting>
  <conditionalFormatting sqref="F14">
    <cfRule type="cellIs" priority="21" operator="equal" dxfId="6">
      <formula>"●"</formula>
    </cfRule>
  </conditionalFormatting>
  <conditionalFormatting sqref="G14">
    <cfRule type="cellIs" priority="22" operator="equal" dxfId="6">
      <formula>"●"</formula>
    </cfRule>
  </conditionalFormatting>
  <conditionalFormatting sqref="H14">
    <cfRule type="cellIs" priority="23" operator="equal" dxfId="6">
      <formula>"●"</formula>
    </cfRule>
  </conditionalFormatting>
  <conditionalFormatting sqref="I14">
    <cfRule type="cellIs" priority="24" operator="equal" dxfId="6">
      <formula>"●"</formula>
    </cfRule>
  </conditionalFormatting>
  <conditionalFormatting sqref="Q14">
    <cfRule type="cellIs" priority="25" operator="greaterThan" dxfId="3">
      <formula>0</formula>
    </cfRule>
  </conditionalFormatting>
  <conditionalFormatting sqref="F18">
    <cfRule type="cellIs" priority="26" operator="equal" dxfId="6">
      <formula>"●"</formula>
    </cfRule>
  </conditionalFormatting>
  <conditionalFormatting sqref="G18">
    <cfRule type="cellIs" priority="27" operator="equal" dxfId="6">
      <formula>"●"</formula>
    </cfRule>
  </conditionalFormatting>
  <conditionalFormatting sqref="H18">
    <cfRule type="cellIs" priority="28" operator="equal" dxfId="6">
      <formula>"●"</formula>
    </cfRule>
  </conditionalFormatting>
  <conditionalFormatting sqref="I18">
    <cfRule type="cellIs" priority="29" operator="equal" dxfId="6">
      <formula>"●"</formula>
    </cfRule>
  </conditionalFormatting>
  <conditionalFormatting sqref="Q18">
    <cfRule type="cellIs" priority="30" operator="greaterThan" dxfId="3">
      <formula>0</formula>
    </cfRule>
  </conditionalFormatting>
  <conditionalFormatting sqref="F19">
    <cfRule type="cellIs" priority="31" operator="equal" dxfId="6">
      <formula>"●"</formula>
    </cfRule>
  </conditionalFormatting>
  <conditionalFormatting sqref="G19">
    <cfRule type="cellIs" priority="32" operator="equal" dxfId="6">
      <formula>"●"</formula>
    </cfRule>
  </conditionalFormatting>
  <conditionalFormatting sqref="H19">
    <cfRule type="cellIs" priority="33" operator="equal" dxfId="6">
      <formula>"●"</formula>
    </cfRule>
  </conditionalFormatting>
  <conditionalFormatting sqref="I19">
    <cfRule type="cellIs" priority="34" operator="equal" dxfId="6">
      <formula>"●"</formula>
    </cfRule>
  </conditionalFormatting>
  <conditionalFormatting sqref="Q19">
    <cfRule type="cellIs" priority="35" operator="greaterThan" dxfId="3">
      <formula>0</formula>
    </cfRule>
  </conditionalFormatting>
  <conditionalFormatting sqref="F20">
    <cfRule type="cellIs" priority="36" operator="equal" dxfId="6">
      <formula>"●"</formula>
    </cfRule>
  </conditionalFormatting>
  <conditionalFormatting sqref="G20">
    <cfRule type="cellIs" priority="37" operator="equal" dxfId="6">
      <formula>"●"</formula>
    </cfRule>
  </conditionalFormatting>
  <conditionalFormatting sqref="H20">
    <cfRule type="cellIs" priority="38" operator="equal" dxfId="6">
      <formula>"●"</formula>
    </cfRule>
  </conditionalFormatting>
  <conditionalFormatting sqref="I20">
    <cfRule type="cellIs" priority="39" operator="equal" dxfId="6">
      <formula>"●"</formula>
    </cfRule>
  </conditionalFormatting>
  <conditionalFormatting sqref="Q20">
    <cfRule type="cellIs" priority="40" operator="greaterThan" dxfId="3">
      <formula>0</formula>
    </cfRule>
  </conditionalFormatting>
  <conditionalFormatting sqref="F24">
    <cfRule type="cellIs" priority="41" operator="equal" dxfId="6">
      <formula>"●"</formula>
    </cfRule>
  </conditionalFormatting>
  <conditionalFormatting sqref="G24">
    <cfRule type="cellIs" priority="42" operator="equal" dxfId="6">
      <formula>"●"</formula>
    </cfRule>
  </conditionalFormatting>
  <conditionalFormatting sqref="H24">
    <cfRule type="cellIs" priority="43" operator="equal" dxfId="6">
      <formula>"●"</formula>
    </cfRule>
  </conditionalFormatting>
  <conditionalFormatting sqref="I24">
    <cfRule type="cellIs" priority="44" operator="equal" dxfId="6">
      <formula>"●"</formula>
    </cfRule>
  </conditionalFormatting>
  <conditionalFormatting sqref="Q24">
    <cfRule type="cellIs" priority="45" operator="greaterThan" dxfId="3">
      <formula>0</formula>
    </cfRule>
  </conditionalFormatting>
  <conditionalFormatting sqref="F25">
    <cfRule type="cellIs" priority="46" operator="equal" dxfId="6">
      <formula>"●"</formula>
    </cfRule>
  </conditionalFormatting>
  <conditionalFormatting sqref="G25">
    <cfRule type="cellIs" priority="47" operator="equal" dxfId="6">
      <formula>"●"</formula>
    </cfRule>
  </conditionalFormatting>
  <conditionalFormatting sqref="H25">
    <cfRule type="cellIs" priority="48" operator="equal" dxfId="6">
      <formula>"●"</formula>
    </cfRule>
  </conditionalFormatting>
  <conditionalFormatting sqref="I25">
    <cfRule type="cellIs" priority="49" operator="equal" dxfId="6">
      <formula>"●"</formula>
    </cfRule>
  </conditionalFormatting>
  <conditionalFormatting sqref="Q25">
    <cfRule type="cellIs" priority="50" operator="greaterThan" dxfId="3">
      <formula>0</formula>
    </cfRule>
  </conditionalFormatting>
  <conditionalFormatting sqref="F26">
    <cfRule type="cellIs" priority="51" operator="equal" dxfId="6">
      <formula>"●"</formula>
    </cfRule>
  </conditionalFormatting>
  <conditionalFormatting sqref="G26">
    <cfRule type="cellIs" priority="52" operator="equal" dxfId="6">
      <formula>"●"</formula>
    </cfRule>
  </conditionalFormatting>
  <conditionalFormatting sqref="H26">
    <cfRule type="cellIs" priority="53" operator="equal" dxfId="6">
      <formula>"●"</formula>
    </cfRule>
  </conditionalFormatting>
  <conditionalFormatting sqref="I26">
    <cfRule type="cellIs" priority="54" operator="equal" dxfId="6">
      <formula>"●"</formula>
    </cfRule>
  </conditionalFormatting>
  <conditionalFormatting sqref="Q26">
    <cfRule type="cellIs" priority="55" operator="greaterThan" dxfId="3">
      <formula>0</formula>
    </cfRule>
  </conditionalFormatting>
  <conditionalFormatting sqref="F30">
    <cfRule type="cellIs" priority="56" operator="equal" dxfId="6">
      <formula>"●"</formula>
    </cfRule>
  </conditionalFormatting>
  <conditionalFormatting sqref="G30">
    <cfRule type="cellIs" priority="57" operator="equal" dxfId="6">
      <formula>"●"</formula>
    </cfRule>
  </conditionalFormatting>
  <conditionalFormatting sqref="H30">
    <cfRule type="cellIs" priority="58" operator="equal" dxfId="6">
      <formula>"●"</formula>
    </cfRule>
  </conditionalFormatting>
  <conditionalFormatting sqref="I30">
    <cfRule type="cellIs" priority="59" operator="equal" dxfId="6">
      <formula>"●"</formula>
    </cfRule>
  </conditionalFormatting>
  <conditionalFormatting sqref="Q30">
    <cfRule type="cellIs" priority="60" operator="greaterThan" dxfId="3">
      <formula>0</formula>
    </cfRule>
  </conditionalFormatting>
  <conditionalFormatting sqref="F31">
    <cfRule type="cellIs" priority="61" operator="equal" dxfId="6">
      <formula>"●"</formula>
    </cfRule>
  </conditionalFormatting>
  <conditionalFormatting sqref="G31">
    <cfRule type="cellIs" priority="62" operator="equal" dxfId="6">
      <formula>"●"</formula>
    </cfRule>
  </conditionalFormatting>
  <conditionalFormatting sqref="H31">
    <cfRule type="cellIs" priority="63" operator="equal" dxfId="6">
      <formula>"●"</formula>
    </cfRule>
  </conditionalFormatting>
  <conditionalFormatting sqref="I31">
    <cfRule type="cellIs" priority="64" operator="equal" dxfId="6">
      <formula>"●"</formula>
    </cfRule>
  </conditionalFormatting>
  <conditionalFormatting sqref="Q31">
    <cfRule type="cellIs" priority="65" operator="greaterThan" dxfId="3">
      <formula>0</formula>
    </cfRule>
  </conditionalFormatting>
  <conditionalFormatting sqref="F32">
    <cfRule type="cellIs" priority="66" operator="equal" dxfId="6">
      <formula>"●"</formula>
    </cfRule>
  </conditionalFormatting>
  <conditionalFormatting sqref="G32">
    <cfRule type="cellIs" priority="67" operator="equal" dxfId="6">
      <formula>"●"</formula>
    </cfRule>
  </conditionalFormatting>
  <conditionalFormatting sqref="H32">
    <cfRule type="cellIs" priority="68" operator="equal" dxfId="6">
      <formula>"●"</formula>
    </cfRule>
  </conditionalFormatting>
  <conditionalFormatting sqref="I32">
    <cfRule type="cellIs" priority="69" operator="equal" dxfId="6">
      <formula>"●"</formula>
    </cfRule>
  </conditionalFormatting>
  <conditionalFormatting sqref="Q32">
    <cfRule type="cellIs" priority="70" operator="greaterThan" dxfId="3">
      <formula>0</formula>
    </cfRule>
  </conditionalFormatting>
  <conditionalFormatting sqref="F33">
    <cfRule type="cellIs" priority="71" operator="equal" dxfId="6">
      <formula>"●"</formula>
    </cfRule>
  </conditionalFormatting>
  <conditionalFormatting sqref="G33">
    <cfRule type="cellIs" priority="72" operator="equal" dxfId="6">
      <formula>"●"</formula>
    </cfRule>
  </conditionalFormatting>
  <conditionalFormatting sqref="H33">
    <cfRule type="cellIs" priority="73" operator="equal" dxfId="6">
      <formula>"●"</formula>
    </cfRule>
  </conditionalFormatting>
  <conditionalFormatting sqref="I33">
    <cfRule type="cellIs" priority="74" operator="equal" dxfId="6">
      <formula>"●"</formula>
    </cfRule>
  </conditionalFormatting>
  <conditionalFormatting sqref="Q33">
    <cfRule type="cellIs" priority="75" operator="greaterThan" dxfId="3">
      <formula>0</formula>
    </cfRule>
  </conditionalFormatting>
  <conditionalFormatting sqref="F34">
    <cfRule type="cellIs" priority="76" operator="equal" dxfId="6">
      <formula>"●"</formula>
    </cfRule>
  </conditionalFormatting>
  <conditionalFormatting sqref="G34">
    <cfRule type="cellIs" priority="77" operator="equal" dxfId="6">
      <formula>"●"</formula>
    </cfRule>
  </conditionalFormatting>
  <conditionalFormatting sqref="H34">
    <cfRule type="cellIs" priority="78" operator="equal" dxfId="6">
      <formula>"●"</formula>
    </cfRule>
  </conditionalFormatting>
  <conditionalFormatting sqref="I34">
    <cfRule type="cellIs" priority="79" operator="equal" dxfId="6">
      <formula>"●"</formula>
    </cfRule>
  </conditionalFormatting>
  <conditionalFormatting sqref="Q34">
    <cfRule type="cellIs" priority="80" operator="greaterThan" dxfId="3">
      <formula>0</formula>
    </cfRule>
  </conditionalFormatting>
  <conditionalFormatting sqref="F38">
    <cfRule type="cellIs" priority="81" operator="equal" dxfId="6">
      <formula>"●"</formula>
    </cfRule>
  </conditionalFormatting>
  <conditionalFormatting sqref="G38">
    <cfRule type="cellIs" priority="82" operator="equal" dxfId="6">
      <formula>"●"</formula>
    </cfRule>
  </conditionalFormatting>
  <conditionalFormatting sqref="H38">
    <cfRule type="cellIs" priority="83" operator="equal" dxfId="6">
      <formula>"●"</formula>
    </cfRule>
  </conditionalFormatting>
  <conditionalFormatting sqref="I38">
    <cfRule type="cellIs" priority="84" operator="equal" dxfId="6">
      <formula>"●"</formula>
    </cfRule>
  </conditionalFormatting>
  <conditionalFormatting sqref="Q38">
    <cfRule type="cellIs" priority="85" operator="greaterThan" dxfId="3">
      <formula>0</formula>
    </cfRule>
  </conditionalFormatting>
  <conditionalFormatting sqref="F39">
    <cfRule type="cellIs" priority="86" operator="equal" dxfId="6">
      <formula>"●"</formula>
    </cfRule>
  </conditionalFormatting>
  <conditionalFormatting sqref="G39">
    <cfRule type="cellIs" priority="87" operator="equal" dxfId="6">
      <formula>"●"</formula>
    </cfRule>
  </conditionalFormatting>
  <conditionalFormatting sqref="H39">
    <cfRule type="cellIs" priority="88" operator="equal" dxfId="6">
      <formula>"●"</formula>
    </cfRule>
  </conditionalFormatting>
  <conditionalFormatting sqref="I39">
    <cfRule type="cellIs" priority="89" operator="equal" dxfId="6">
      <formula>"●"</formula>
    </cfRule>
  </conditionalFormatting>
  <conditionalFormatting sqref="Q39">
    <cfRule type="cellIs" priority="90" operator="greaterThan" dxfId="3">
      <formula>0</formula>
    </cfRule>
  </conditionalFormatting>
  <conditionalFormatting sqref="F40">
    <cfRule type="cellIs" priority="91" operator="equal" dxfId="6">
      <formula>"●"</formula>
    </cfRule>
  </conditionalFormatting>
  <conditionalFormatting sqref="G40">
    <cfRule type="cellIs" priority="92" operator="equal" dxfId="6">
      <formula>"●"</formula>
    </cfRule>
  </conditionalFormatting>
  <conditionalFormatting sqref="H40">
    <cfRule type="cellIs" priority="93" operator="equal" dxfId="6">
      <formula>"●"</formula>
    </cfRule>
  </conditionalFormatting>
  <conditionalFormatting sqref="I40">
    <cfRule type="cellIs" priority="94" operator="equal" dxfId="6">
      <formula>"●"</formula>
    </cfRule>
  </conditionalFormatting>
  <conditionalFormatting sqref="Q40">
    <cfRule type="cellIs" priority="95" operator="greaterThan" dxfId="3">
      <formula>0</formula>
    </cfRule>
  </conditionalFormatting>
  <conditionalFormatting sqref="F44">
    <cfRule type="cellIs" priority="96" operator="equal" dxfId="6">
      <formula>"●"</formula>
    </cfRule>
  </conditionalFormatting>
  <conditionalFormatting sqref="G44">
    <cfRule type="cellIs" priority="97" operator="equal" dxfId="6">
      <formula>"●"</formula>
    </cfRule>
  </conditionalFormatting>
  <conditionalFormatting sqref="H44">
    <cfRule type="cellIs" priority="98" operator="equal" dxfId="6">
      <formula>"●"</formula>
    </cfRule>
  </conditionalFormatting>
  <conditionalFormatting sqref="I44">
    <cfRule type="cellIs" priority="99" operator="equal" dxfId="6">
      <formula>"●"</formula>
    </cfRule>
  </conditionalFormatting>
  <conditionalFormatting sqref="Q44">
    <cfRule type="cellIs" priority="100" operator="greaterThan" dxfId="3">
      <formula>0</formula>
    </cfRule>
  </conditionalFormatting>
  <conditionalFormatting sqref="F45">
    <cfRule type="cellIs" priority="101" operator="equal" dxfId="6">
      <formula>"●"</formula>
    </cfRule>
  </conditionalFormatting>
  <conditionalFormatting sqref="G45">
    <cfRule type="cellIs" priority="102" operator="equal" dxfId="6">
      <formula>"●"</formula>
    </cfRule>
  </conditionalFormatting>
  <conditionalFormatting sqref="H45">
    <cfRule type="cellIs" priority="103" operator="equal" dxfId="6">
      <formula>"●"</formula>
    </cfRule>
  </conditionalFormatting>
  <conditionalFormatting sqref="I45">
    <cfRule type="cellIs" priority="104" operator="equal" dxfId="6">
      <formula>"●"</formula>
    </cfRule>
  </conditionalFormatting>
  <conditionalFormatting sqref="Q45">
    <cfRule type="cellIs" priority="105" operator="greaterThan" dxfId="3">
      <formula>0</formula>
    </cfRule>
  </conditionalFormatting>
  <conditionalFormatting sqref="F46">
    <cfRule type="cellIs" priority="106" operator="equal" dxfId="6">
      <formula>"●"</formula>
    </cfRule>
  </conditionalFormatting>
  <conditionalFormatting sqref="G46">
    <cfRule type="cellIs" priority="107" operator="equal" dxfId="6">
      <formula>"●"</formula>
    </cfRule>
  </conditionalFormatting>
  <conditionalFormatting sqref="H46">
    <cfRule type="cellIs" priority="108" operator="equal" dxfId="6">
      <formula>"●"</formula>
    </cfRule>
  </conditionalFormatting>
  <conditionalFormatting sqref="I46">
    <cfRule type="cellIs" priority="109" operator="equal" dxfId="6">
      <formula>"●"</formula>
    </cfRule>
  </conditionalFormatting>
  <conditionalFormatting sqref="Q46">
    <cfRule type="cellIs" priority="110" operator="greaterThan" dxfId="3">
      <formula>0</formula>
    </cfRule>
  </conditionalFormatting>
  <conditionalFormatting sqref="F47">
    <cfRule type="cellIs" priority="111" operator="equal" dxfId="6">
      <formula>"●"</formula>
    </cfRule>
  </conditionalFormatting>
  <conditionalFormatting sqref="G47">
    <cfRule type="cellIs" priority="112" operator="equal" dxfId="6">
      <formula>"●"</formula>
    </cfRule>
  </conditionalFormatting>
  <conditionalFormatting sqref="H47">
    <cfRule type="cellIs" priority="113" operator="equal" dxfId="6">
      <formula>"●"</formula>
    </cfRule>
  </conditionalFormatting>
  <conditionalFormatting sqref="I47">
    <cfRule type="cellIs" priority="114" operator="equal" dxfId="6">
      <formula>"●"</formula>
    </cfRule>
  </conditionalFormatting>
  <conditionalFormatting sqref="Q47">
    <cfRule type="cellIs" priority="115" operator="greaterThan" dxfId="3">
      <formula>0</formula>
    </cfRule>
  </conditionalFormatting>
  <conditionalFormatting sqref="F48">
    <cfRule type="cellIs" priority="116" operator="equal" dxfId="6">
      <formula>"●"</formula>
    </cfRule>
  </conditionalFormatting>
  <conditionalFormatting sqref="G48">
    <cfRule type="cellIs" priority="117" operator="equal" dxfId="6">
      <formula>"●"</formula>
    </cfRule>
  </conditionalFormatting>
  <conditionalFormatting sqref="H48">
    <cfRule type="cellIs" priority="118" operator="equal" dxfId="6">
      <formula>"●"</formula>
    </cfRule>
  </conditionalFormatting>
  <conditionalFormatting sqref="I48">
    <cfRule type="cellIs" priority="119" operator="equal" dxfId="6">
      <formula>"●"</formula>
    </cfRule>
  </conditionalFormatting>
  <conditionalFormatting sqref="Q48">
    <cfRule type="cellIs" priority="120" operator="greaterThan" dxfId="3">
      <formula>0</formula>
    </cfRule>
  </conditionalFormatting>
  <conditionalFormatting sqref="F49">
    <cfRule type="cellIs" priority="121" operator="equal" dxfId="6">
      <formula>"●"</formula>
    </cfRule>
  </conditionalFormatting>
  <conditionalFormatting sqref="G49">
    <cfRule type="cellIs" priority="122" operator="equal" dxfId="6">
      <formula>"●"</formula>
    </cfRule>
  </conditionalFormatting>
  <conditionalFormatting sqref="H49">
    <cfRule type="cellIs" priority="123" operator="equal" dxfId="6">
      <formula>"●"</formula>
    </cfRule>
  </conditionalFormatting>
  <conditionalFormatting sqref="I49">
    <cfRule type="cellIs" priority="124" operator="equal" dxfId="6">
      <formula>"●"</formula>
    </cfRule>
  </conditionalFormatting>
  <conditionalFormatting sqref="Q49">
    <cfRule type="cellIs" priority="125" operator="greaterThan" dxfId="3">
      <formula>0</formula>
    </cfRule>
  </conditionalFormatting>
  <conditionalFormatting sqref="F50">
    <cfRule type="cellIs" priority="126" operator="equal" dxfId="6">
      <formula>"●"</formula>
    </cfRule>
  </conditionalFormatting>
  <conditionalFormatting sqref="G50">
    <cfRule type="cellIs" priority="127" operator="equal" dxfId="6">
      <formula>"●"</formula>
    </cfRule>
  </conditionalFormatting>
  <conditionalFormatting sqref="H50">
    <cfRule type="cellIs" priority="128" operator="equal" dxfId="6">
      <formula>"●"</formula>
    </cfRule>
  </conditionalFormatting>
  <conditionalFormatting sqref="I50">
    <cfRule type="cellIs" priority="129" operator="equal" dxfId="6">
      <formula>"●"</formula>
    </cfRule>
  </conditionalFormatting>
  <conditionalFormatting sqref="Q50">
    <cfRule type="cellIs" priority="130" operator="greaterThan" dxfId="3">
      <formula>0</formula>
    </cfRule>
  </conditionalFormatting>
  <conditionalFormatting sqref="F51">
    <cfRule type="cellIs" priority="131" operator="equal" dxfId="6">
      <formula>"●"</formula>
    </cfRule>
  </conditionalFormatting>
  <conditionalFormatting sqref="G51">
    <cfRule type="cellIs" priority="132" operator="equal" dxfId="6">
      <formula>"●"</formula>
    </cfRule>
  </conditionalFormatting>
  <conditionalFormatting sqref="H51">
    <cfRule type="cellIs" priority="133" operator="equal" dxfId="6">
      <formula>"●"</formula>
    </cfRule>
  </conditionalFormatting>
  <conditionalFormatting sqref="I51">
    <cfRule type="cellIs" priority="134" operator="equal" dxfId="6">
      <formula>"●"</formula>
    </cfRule>
  </conditionalFormatting>
  <conditionalFormatting sqref="Q51">
    <cfRule type="cellIs" priority="135" operator="greaterThan" dxfId="3">
      <formula>0</formula>
    </cfRule>
  </conditionalFormatting>
  <conditionalFormatting sqref="F52">
    <cfRule type="cellIs" priority="136" operator="equal" dxfId="6">
      <formula>"●"</formula>
    </cfRule>
  </conditionalFormatting>
  <conditionalFormatting sqref="G52">
    <cfRule type="cellIs" priority="137" operator="equal" dxfId="6">
      <formula>"●"</formula>
    </cfRule>
  </conditionalFormatting>
  <conditionalFormatting sqref="H52">
    <cfRule type="cellIs" priority="138" operator="equal" dxfId="6">
      <formula>"●"</formula>
    </cfRule>
  </conditionalFormatting>
  <conditionalFormatting sqref="I52">
    <cfRule type="cellIs" priority="139" operator="equal" dxfId="6">
      <formula>"●"</formula>
    </cfRule>
  </conditionalFormatting>
  <conditionalFormatting sqref="Q52">
    <cfRule type="cellIs" priority="140" operator="greaterThan" dxfId="3">
      <formula>0</formula>
    </cfRule>
  </conditionalFormatting>
  <conditionalFormatting sqref="I7">
    <cfRule type="cellIs" priority="141" operator="equal" dxfId="3">
      <formula>"❌"</formula>
    </cfRule>
  </conditionalFormatting>
  <dataValidations count="11">
    <dataValidation sqref="E2" showDropDown="0" showInputMessage="0" showErrorMessage="0" allowBlank="0" type="list">
      <formula1>"2,4,6,8"</formula1>
    </dataValidation>
    <dataValidation sqref="D4" showDropDown="0" showInputMessage="0" showErrorMessage="0" allowBlank="0" type="list">
      <formula1>'Master Data'!$A$60:$A$63</formula1>
    </dataValidation>
    <dataValidation sqref="J4" showDropDown="0" showInputMessage="0" showErrorMessage="0" allowBlank="0" type="list">
      <formula1>"First,Business,Premium Economy,Economy"</formula1>
    </dataValidation>
    <dataValidation sqref="D6" showDropDown="0" showInputMessage="0" showErrorMessage="0" allowBlank="0" type="list">
      <formula1>'Master Data'!$A$74:$A$77</formula1>
    </dataValidation>
    <dataValidation sqref="F10 F11 F12 F13 F14 F18 F19 F20 F24 F25 F26 F30 F31 F32 F33 F34 F38 F39 F40 F44 F45 F46 F47 F48 F49 F50 F51 F52 G10 G11 G12 G13 G14 G18 G19 G20 G24 G25 G26 G30 G31 G32 G33 G34 G38 G39 G40 G44 G45 G46 G47 G48 G49 G50 G51 G52 H10 H11 H12 H13 H14 H18 H19 H20 H24 H25 H26 H30 H31 H32 H33 H34 H38 H39 H40 H44 H45 H46 H47 H48 H49 H50 H51 H52 I10 I11 I12 I13 I14 I18 I19 I20 I24 I25 I26 I30 I31 I32 I33 I34 I38 I39 I40 I44 I45 I46 I47 I48 I49 I50 I51 I52 L10 L11 L12 L13 L14 L18 L19 L20 L24 L25 L26 L30 L31 L32 L33 L34 L38 L39 L40 L44 L45 L46 L47 L48 L49 L50 L51 L52 M10 M11 M12 M13 M14 M18 M19 M20 M24 M25 M26 M30 M31 M32 M33 M34 M38 M39 M40 M44 M45 M46 M47 M48 M49 M50 M51 M52 N10 N11 N12 N13 N14 N18 N19 N20 N24 N25 N26 N30 N31 N32 N33 N34 N38 N39 N40 N44 N45 N46 N47 N48 N49 N50 N51 N52 O10 O11 O12 O13 O14 O18 O19 O20 O24 O25 O26 O30 O31 O32 O33 O34 O38 O39 O40 O44 O45 O46 O47 O48 O49 O50 O51 O52" showDropDown="0" showInputMessage="0" showErrorMessage="0" allowBlank="1" error="● = ON, blank = OFF" type="list">
      <formula1>"●"</formula1>
    </dataValidation>
    <dataValidation sqref="A10 A11 A12 A13 A14" showDropDown="0" showInputMessage="0" showErrorMessage="0" allowBlank="1" type="list">
      <formula1>'Master Data'!$A$7:$A$14</formula1>
    </dataValidation>
    <dataValidation sqref="A18 A19 A20" showDropDown="0" showInputMessage="0" showErrorMessage="0" allowBlank="1" type="list">
      <formula1>'Master Data'!$A$19:$A$24</formula1>
    </dataValidation>
    <dataValidation sqref="A24 A25 A26" showDropDown="0" showInputMessage="0" showErrorMessage="0" allowBlank="1" type="list">
      <formula1>'Master Data'!$A$28:$A$34</formula1>
    </dataValidation>
    <dataValidation sqref="A30 A31 A32 A33 A34" showDropDown="0" showInputMessage="0" showErrorMessage="0" allowBlank="1" type="list">
      <formula1>'Master Data'!$A$38:$A$46</formula1>
    </dataValidation>
    <dataValidation sqref="A38 A39 A40" showDropDown="0" showInputMessage="0" showErrorMessage="0" allowBlank="1" type="list">
      <formula1>'Master Data'!$A$50:$A$56</formula1>
    </dataValidation>
    <dataValidation sqref="A44 A45 A46 A47 A48 A49 A50 A51 A52" showDropDown="0" showInputMessage="0" showErrorMessage="0" allowBlank="1" type="list">
      <formula1>'Master Data'!$A$86:$A$94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style="42" min="1" max="1"/>
    <col width="13" customWidth="1" style="42" min="2" max="2"/>
    <col width="13" customWidth="1" style="42" min="3" max="3"/>
    <col width="13" customWidth="1" style="42" min="4" max="4"/>
    <col width="13" customWidth="1" style="42" min="5" max="5"/>
    <col width="13" customWidth="1" style="42" min="6" max="6"/>
  </cols>
  <sheetData>
    <row r="1">
      <c r="A1" s="103" t="inlineStr">
        <is>
          <t>📊 PACKAGE SUMMARY</t>
        </is>
      </c>
      <c r="B1" s="104" t="n"/>
      <c r="C1" s="104" t="n"/>
      <c r="D1" s="104" t="n"/>
      <c r="E1" s="104" t="n"/>
      <c r="F1" s="104" t="n"/>
    </row>
    <row r="4">
      <c r="A4" s="98" t="inlineStr">
        <is>
          <t>Category</t>
        </is>
      </c>
      <c r="B4" s="98" t="inlineStr">
        <is>
          <t>Total Cost</t>
        </is>
      </c>
      <c r="C4" s="98" t="inlineStr">
        <is>
          <t>Total Sell</t>
        </is>
      </c>
      <c r="D4" s="98" t="inlineStr">
        <is>
          <t>Margin</t>
        </is>
      </c>
      <c r="E4" s="98" t="inlineStr">
        <is>
          <t>Margin%</t>
        </is>
      </c>
      <c r="F4" s="98" t="inlineStr">
        <is>
          <t>Per Person</t>
        </is>
      </c>
    </row>
    <row r="5">
      <c r="A5" s="136" t="inlineStr">
        <is>
          <t>GOLF</t>
        </is>
      </c>
      <c r="B5" s="84">
        <f>'Package Selector'!J15</f>
        <v/>
      </c>
      <c r="C5" s="84">
        <f>'Package Selector'!K15</f>
        <v/>
      </c>
      <c r="D5" s="84">
        <f>C5-B5</f>
        <v/>
      </c>
      <c r="E5" s="137">
        <f>IF(C5&gt;0,D5/C5,0)</f>
        <v/>
      </c>
      <c r="F5" s="84">
        <f>IF(E2&gt;0,B5/E2,0)</f>
        <v/>
      </c>
    </row>
    <row r="6">
      <c r="A6" s="136" t="inlineStr">
        <is>
          <t>HOTEL</t>
        </is>
      </c>
      <c r="B6" s="84">
        <f>'Package Selector'!J21</f>
        <v/>
      </c>
      <c r="C6" s="84">
        <f>'Package Selector'!K21</f>
        <v/>
      </c>
      <c r="D6" s="84">
        <f>C6-B6</f>
        <v/>
      </c>
      <c r="E6" s="137">
        <f>IF(C6&gt;0,D6/C6,0)</f>
        <v/>
      </c>
      <c r="F6" s="84">
        <f>IF(E2&gt;0,B6/E2,0)</f>
        <v/>
      </c>
    </row>
    <row r="7">
      <c r="A7" s="136" t="inlineStr">
        <is>
          <t>TRANSPORT</t>
        </is>
      </c>
      <c r="B7" s="84">
        <f>'Package Selector'!J27</f>
        <v/>
      </c>
      <c r="C7" s="84">
        <f>'Package Selector'!K27</f>
        <v/>
      </c>
      <c r="D7" s="84">
        <f>C7-B7</f>
        <v/>
      </c>
      <c r="E7" s="137">
        <f>IF(C7&gt;0,D7/C7,0)</f>
        <v/>
      </c>
      <c r="F7" s="84">
        <f>IF(E2&gt;0,B7/E2,0)</f>
        <v/>
      </c>
    </row>
    <row r="8">
      <c r="A8" s="136" t="inlineStr">
        <is>
          <t xml:space="preserve"> MEALS</t>
        </is>
      </c>
      <c r="B8" s="84">
        <f>'Package Selector'!J35</f>
        <v/>
      </c>
      <c r="C8" s="84">
        <f>'Package Selector'!K35</f>
        <v/>
      </c>
      <c r="D8" s="84">
        <f>C8-B8</f>
        <v/>
      </c>
      <c r="E8" s="137">
        <f>IF(C8&gt;0,D8/C8,0)</f>
        <v/>
      </c>
      <c r="F8" s="84">
        <f>IF(E2&gt;0,B8/E2,0)</f>
        <v/>
      </c>
    </row>
    <row r="9">
      <c r="A9" s="136" t="inlineStr">
        <is>
          <t>OTHER</t>
        </is>
      </c>
      <c r="B9" s="84">
        <f>'Package Selector'!J41</f>
        <v/>
      </c>
      <c r="C9" s="84">
        <f>'Package Selector'!K41</f>
        <v/>
      </c>
      <c r="D9" s="84">
        <f>C9-B9</f>
        <v/>
      </c>
      <c r="E9" s="137">
        <f>IF(C9&gt;0,D9/C9,0)</f>
        <v/>
      </c>
      <c r="F9" s="84">
        <f>IF(E2&gt;0,B9/E2,0)</f>
        <v/>
      </c>
    </row>
    <row r="10">
      <c r="A10" s="136" t="inlineStr">
        <is>
          <t>ACTIVITIES</t>
        </is>
      </c>
      <c r="B10" s="84">
        <f>'Package Selector'!J53</f>
        <v/>
      </c>
      <c r="C10" s="84">
        <f>'Package Selector'!K53</f>
        <v/>
      </c>
      <c r="D10" s="84">
        <f>C10-B10</f>
        <v/>
      </c>
      <c r="E10" s="137">
        <f>IF(C10&gt;0,D10/C10,0)</f>
        <v/>
      </c>
      <c r="F10" s="84">
        <f>IF(E2&gt;0,B10/E2,0)</f>
        <v/>
      </c>
    </row>
    <row r="11">
      <c r="A11" s="115" t="inlineStr">
        <is>
          <t>📌 TOTAL</t>
        </is>
      </c>
      <c r="B11" s="88">
        <f>SUM(B5:B10)</f>
        <v/>
      </c>
      <c r="C11" s="88">
        <f>SUM(C5:C10)</f>
        <v/>
      </c>
      <c r="D11" s="88">
        <f>SUM(D5:D10)</f>
        <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style="42" min="1" max="1"/>
    <col width="18" customWidth="1" style="42" min="2" max="2"/>
    <col width="18" customWidth="1" style="42" min="3" max="3"/>
    <col width="18" customWidth="1" style="42" min="4" max="4"/>
  </cols>
  <sheetData>
    <row r="1">
      <c r="A1" s="103" t="inlineStr">
        <is>
          <t>🎫 GUEST PACKAGE</t>
        </is>
      </c>
      <c r="B1" s="104" t="n"/>
      <c r="C1" s="104" t="n"/>
      <c r="D1" s="104" t="n"/>
    </row>
    <row r="3">
      <c r="A3" s="106" t="inlineStr">
        <is>
          <t>Package:</t>
        </is>
      </c>
      <c r="B3" s="151">
        <f>'Package Selector'!B2</f>
        <v/>
      </c>
      <c r="C3" s="86" t="n"/>
      <c r="D3" s="87" t="n"/>
    </row>
    <row r="4">
      <c r="A4" s="106" t="inlineStr">
        <is>
          <t>Guests:</t>
        </is>
      </c>
      <c r="B4" s="152">
        <f>'Package Selector'!E2</f>
        <v/>
      </c>
    </row>
    <row r="5">
      <c r="A5" s="106" t="inlineStr">
        <is>
          <t>Duration:</t>
        </is>
      </c>
      <c r="B5" s="151">
        <f>'Package Selector'!J6</f>
        <v/>
      </c>
      <c r="C5" s="86" t="n"/>
      <c r="D5" s="87" t="n"/>
    </row>
    <row r="7">
      <c r="A7" s="140" t="inlineStr">
        <is>
          <t>⛳ Golf</t>
        </is>
      </c>
      <c r="B7" s="108">
        <f>TEXTJOIN(", ",TRUE,IF((COUNTIF(F9:I14,"●")+COUNTIF(L9:O14,"●"))&gt;0,A9:A14,""))</f>
        <v/>
      </c>
      <c r="C7" s="86" t="n"/>
      <c r="D7" s="87" t="n"/>
    </row>
    <row r="8">
      <c r="A8" s="140" t="inlineStr">
        <is>
          <t>🏨 Hotel</t>
        </is>
      </c>
      <c r="B8" s="108">
        <f>TEXTJOIN(", ",TRUE,IF((COUNTIF(F17:I21,"●")+COUNTIF(L17:O21,"●"))&gt;0,A17:A21,""))</f>
        <v/>
      </c>
      <c r="C8" s="86" t="n"/>
      <c r="D8" s="87" t="n"/>
    </row>
    <row r="9">
      <c r="A9" s="140" t="inlineStr">
        <is>
          <t>🚐 Transport</t>
        </is>
      </c>
      <c r="B9" s="108">
        <f>TEXTJOIN(", ",TRUE,IF((COUNTIF(F23:I27,"●")+COUNTIF(L23:O27,"●"))&gt;0,A23:A27,""))</f>
        <v/>
      </c>
      <c r="C9" s="86" t="n"/>
      <c r="D9" s="87" t="n"/>
    </row>
    <row r="10">
      <c r="A10" s="140" t="inlineStr">
        <is>
          <t>🍽️ Meals</t>
        </is>
      </c>
      <c r="B10" s="108">
        <f>TEXTJOIN(", ",TRUE,IF((COUNTIF(F29:I35,"●")+COUNTIF(L29:O35,"●"))&gt;0,A29:A35,""))</f>
        <v/>
      </c>
      <c r="C10" s="86" t="n"/>
      <c r="D10" s="87" t="n"/>
    </row>
    <row r="11">
      <c r="A11" s="140" t="inlineStr">
        <is>
          <t>📦 Other</t>
        </is>
      </c>
      <c r="B11" s="108">
        <f>TEXTJOIN(", ",TRUE,IF((COUNTIF(F37:I41,"●")+COUNTIF(L37:O41,"●"))&gt;0,A37:A41,""))</f>
        <v/>
      </c>
      <c r="C11" s="86" t="n"/>
      <c r="D11" s="87" t="n"/>
    </row>
    <row r="12">
      <c r="A12" s="140" t="inlineStr">
        <is>
          <t>🎯 Activities</t>
        </is>
      </c>
      <c r="B12" s="108">
        <f>TEXTJOIN(", ",TRUE,IF((COUNTIF(F43:I53,"●")+COUNTIF(L43:O53,"●"))&gt;0,A43:A53,""))</f>
        <v/>
      </c>
      <c r="C12" s="86" t="n"/>
      <c r="D12" s="87" t="n"/>
    </row>
    <row r="14">
      <c r="A14" s="124" t="inlineStr">
        <is>
          <t>💰 ALL-INCLUSIVE PRICE</t>
        </is>
      </c>
    </row>
    <row r="15">
      <c r="A15" s="106" t="inlineStr">
        <is>
          <t>Total:</t>
        </is>
      </c>
      <c r="B15" s="153">
        <f>'Package Selector'!K72</f>
        <v/>
      </c>
      <c r="C15" s="86" t="n"/>
      <c r="D15" s="87" t="n"/>
    </row>
  </sheetData>
  <mergeCells count="11">
    <mergeCell ref="B10:D10"/>
    <mergeCell ref="A1:D1"/>
    <mergeCell ref="B11:D11"/>
    <mergeCell ref="B3:D3"/>
    <mergeCell ref="B5:D5"/>
    <mergeCell ref="B15:D15"/>
    <mergeCell ref="B8:D8"/>
    <mergeCell ref="B9:D9"/>
    <mergeCell ref="B12:D12"/>
    <mergeCell ref="B7:D7"/>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2026-05-23T06:48:12Z</dcterms:created>
  <dcterms:modified xmlns:dcterms="http://purl.org/dc/terms/" xmlns:xsi="http://www.w3.org/2001/XMLSchema-instance" xsi:type="dcterms:W3CDTF">2026-05-25T05:13:32Z</dcterms:modified>
</cp:coreProperties>
</file>