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0" windowHeight="0" tabRatio="600" firstSheet="0" activeTab="2" autoFilterDateGrouping="1"/>
  </bookViews>
  <sheets>
    <sheet xmlns:r="http://schemas.openxmlformats.org/officeDocument/2006/relationships" name="Master Data" sheetId="1" state="visible" r:id="rId1"/>
    <sheet xmlns:r="http://schemas.openxmlformats.org/officeDocument/2006/relationships" name="Package Types" sheetId="2" state="visible" r:id="rId2"/>
    <sheet xmlns:r="http://schemas.openxmlformats.org/officeDocument/2006/relationships" name="Package Selector" sheetId="3" state="visible" r:id="rId3"/>
    <sheet xmlns:r="http://schemas.openxmlformats.org/officeDocument/2006/relationships" name="Profit Summary" sheetId="4" state="visible" r:id="rId4"/>
  </sheets>
  <definedNames/>
  <calcPr calcId="191028" fullCalcOnLoad="1"/>
</workbook>
</file>

<file path=xl/styles.xml><?xml version="1.0" encoding="utf-8"?>
<styleSheet xmlns="http://schemas.openxmlformats.org/spreadsheetml/2006/main">
  <numFmts count="3">
    <numFmt numFmtId="164" formatCode="0.0%"/>
    <numFmt numFmtId="165" formatCode="\$#,##0"/>
    <numFmt numFmtId="166" formatCode="$#,##0"/>
  </numFmts>
  <fonts count="20">
    <font>
      <name val="Calibri"/>
      <family val="2"/>
      <color theme="1"/>
      <sz val="11"/>
      <scheme val="minor"/>
    </font>
    <font>
      <name val="Calibri"/>
      <b val="1"/>
      <color rgb="FF1A3450"/>
      <sz val="14"/>
    </font>
    <font>
      <name val="Calibri"/>
      <color rgb="FF666666"/>
      <sz val="9"/>
    </font>
    <font>
      <name val="Calibri"/>
      <b val="1"/>
      <color rgb="FFFFFFFF"/>
      <sz val="11"/>
    </font>
    <font>
      <name val="Calibri"/>
      <b val="1"/>
      <sz val="11"/>
    </font>
    <font>
      <name val="Calibri"/>
      <color rgb="FF1A3450"/>
      <sz val="11"/>
    </font>
    <font>
      <name val="Calibri"/>
      <b val="1"/>
      <color rgb="FF1A3450"/>
      <sz val="11"/>
    </font>
    <font>
      <b val="1"/>
      <color rgb="00FFFFFF"/>
      <sz val="10"/>
    </font>
    <font>
      <b val="1"/>
      <sz val="11"/>
    </font>
    <font>
      <b val="1"/>
      <color rgb="00FFFFFF"/>
      <sz val="9"/>
    </font>
    <font>
      <b val="1"/>
      <sz val="10"/>
    </font>
    <font>
      <b val="1"/>
      <sz val="12"/>
    </font>
    <font>
      <b val="1"/>
      <color rgb="001A3450"/>
      <sz val="11"/>
    </font>
    <font>
      <b val="1"/>
      <color rgb="00D4AF37"/>
      <sz val="11"/>
    </font>
    <font>
      <name val="Calibri"/>
      <b val="1"/>
      <color rgb="001A3450"/>
      <sz val="10"/>
    </font>
    <font>
      <name val="Calibri"/>
      <b val="1"/>
      <color rgb="00FFFFFF"/>
      <sz val="10"/>
    </font>
    <font>
      <name val="Calibri"/>
      <b val="1"/>
      <sz val="10"/>
    </font>
    <font>
      <name val="Calibri"/>
      <sz val="10"/>
    </font>
    <font>
      <name val="Calibri"/>
      <b val="1"/>
      <color rgb="00FFFFFF"/>
      <sz val="11"/>
    </font>
    <font>
      <name val="Calibri"/>
      <color rgb="00888888"/>
      <sz val="9"/>
    </font>
  </fonts>
  <fills count="22">
    <fill>
      <patternFill/>
    </fill>
    <fill>
      <patternFill patternType="gray125"/>
    </fill>
    <fill>
      <patternFill patternType="solid">
        <fgColor rgb="FFD4AF37"/>
      </patternFill>
    </fill>
    <fill>
      <patternFill patternType="solid">
        <fgColor rgb="FF1A3450"/>
      </patternFill>
    </fill>
    <fill>
      <patternFill patternType="solid">
        <fgColor rgb="FFFFFF00"/>
      </patternFill>
    </fill>
    <fill>
      <patternFill patternType="solid">
        <fgColor rgb="FFDAEEF3"/>
      </patternFill>
    </fill>
    <fill>
      <patternFill patternType="solid">
        <fgColor rgb="FFF2F2F2"/>
      </patternFill>
    </fill>
    <fill>
      <patternFill patternType="solid">
        <fgColor rgb="FFC6EFCE"/>
      </patternFill>
    </fill>
    <fill>
      <patternFill patternType="solid">
        <fgColor rgb="001A3450"/>
        <bgColor rgb="001A3450"/>
      </patternFill>
    </fill>
    <fill>
      <patternFill patternType="solid">
        <fgColor rgb="00FFFFD7"/>
        <bgColor rgb="00FFFFD7"/>
      </patternFill>
    </fill>
    <fill>
      <patternFill patternType="solid">
        <fgColor rgb="00DCE6F1"/>
        <bgColor rgb="00DCE6F1"/>
      </patternFill>
    </fill>
    <fill>
      <patternFill patternType="solid">
        <fgColor rgb="FFD4AF37"/>
        <bgColor rgb="FFD4AF37"/>
      </patternFill>
    </fill>
    <fill>
      <patternFill patternType="solid">
        <fgColor rgb="FF1A3450"/>
        <bgColor rgb="FF1A3450"/>
      </patternFill>
    </fill>
    <fill>
      <patternFill patternType="solid">
        <fgColor rgb="FFFFFFCC"/>
        <bgColor rgb="FFFFFFCC"/>
      </patternFill>
    </fill>
    <fill>
      <patternFill patternType="solid">
        <fgColor rgb="FFFFFF00"/>
        <bgColor rgb="FFFFFF00"/>
      </patternFill>
    </fill>
    <fill>
      <patternFill patternType="solid">
        <fgColor rgb="FFDAEEF3"/>
        <bgColor rgb="FFDAEEF3"/>
      </patternFill>
    </fill>
    <fill>
      <patternFill patternType="solid">
        <fgColor rgb="FFD9D9D9"/>
        <bgColor rgb="FFD9D9D9"/>
      </patternFill>
    </fill>
    <fill>
      <patternFill patternType="solid">
        <fgColor rgb="FFC6EFCE"/>
        <bgColor rgb="FFC6EFCE"/>
      </patternFill>
    </fill>
    <fill>
      <patternFill patternType="solid">
        <fgColor rgb="FFF4B183"/>
        <bgColor rgb="FFF4B183"/>
      </patternFill>
    </fill>
    <fill>
      <patternFill patternType="solid">
        <fgColor rgb="FFE8F0FE"/>
        <bgColor rgb="FFE8F0FE"/>
      </patternFill>
    </fill>
    <fill>
      <patternFill patternType="solid">
        <fgColor rgb="FFF2F2F2"/>
        <bgColor rgb="FFF2F2F2"/>
      </patternFill>
    </fill>
    <fill>
      <patternFill patternType="solid">
        <fgColor rgb="FFFFC7CE"/>
        <bgColor rgb="FFFFC7CE"/>
      </patternFill>
    </fill>
  </fills>
  <borders count="22">
    <border>
      <left/>
      <right/>
      <top/>
      <bottom/>
      <diagonal/>
    </border>
    <border>
      <left style="thin">
        <color rgb="FFDDDDDD"/>
      </left>
      <right style="thin">
        <color rgb="FFDDDDDD"/>
      </right>
      <top style="thin">
        <color rgb="FFDDDDDD"/>
      </top>
      <bottom style="thin">
        <color rgb="FFDDDDDD"/>
      </bottom>
      <diagonal/>
    </border>
    <border>
      <left/>
      <right/>
      <top style="thin">
        <color rgb="FFDDDDDD"/>
      </top>
      <bottom/>
      <diagonal/>
    </border>
    <border>
      <left/>
      <right style="thin">
        <color rgb="FFDDDDDD"/>
      </right>
      <top style="thin">
        <color rgb="FFDDDDDD"/>
      </top>
      <bottom/>
      <diagonal/>
    </border>
    <border>
      <left/>
      <right/>
      <top style="thin">
        <color rgb="FFDDDDDD"/>
      </top>
      <bottom style="thin">
        <color rgb="FFDDDDDD"/>
      </bottom>
      <diagonal/>
    </border>
    <border>
      <left/>
      <right style="thin">
        <color rgb="FFDDDDDD"/>
      </right>
      <top style="thin">
        <color rgb="FFDDDDDD"/>
      </top>
      <bottom style="thin">
        <color rgb="FFDDDDDD"/>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medium">
        <color rgb="FF333333"/>
      </left>
      <right style="medium">
        <color rgb="FF333333"/>
      </right>
      <top style="medium">
        <color rgb="FF333333"/>
      </top>
      <bottom style="medium">
        <color rgb="FF333333"/>
      </bottom>
    </border>
    <border>
      <left style="thin">
        <color rgb="FF999999"/>
      </left>
      <right style="thin">
        <color rgb="FF999999"/>
      </right>
      <top style="thin">
        <color rgb="FF999999"/>
      </top>
      <bottom style="thin">
        <color rgb="FF999999"/>
      </bottom>
    </border>
    <border>
      <left/>
      <right/>
      <top style="thin">
        <color rgb="FF999999"/>
      </top>
      <bottom/>
      <diagonal/>
    </border>
    <border>
      <left/>
      <right style="thin">
        <color rgb="FF999999"/>
      </right>
      <top style="thin">
        <color rgb="FF999999"/>
      </top>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medium">
        <color rgb="FF4472C4"/>
      </left>
      <right style="medium">
        <color rgb="FF4472C4"/>
      </right>
      <top style="medium">
        <color rgb="FF4472C4"/>
      </top>
      <bottom style="medium">
        <color rgb="FF4472C4"/>
      </bottom>
    </border>
    <border>
      <left/>
      <right/>
      <top style="medium">
        <color rgb="FF333333"/>
      </top>
      <bottom/>
      <diagonal/>
    </border>
    <border>
      <left/>
      <right style="medium">
        <color rgb="FF333333"/>
      </right>
      <top style="medium">
        <color rgb="FF333333"/>
      </top>
      <bottom/>
      <diagonal/>
    </border>
    <border>
      <left/>
      <right style="medium">
        <color rgb="FF333333"/>
      </right>
      <top style="medium">
        <color rgb="FF333333"/>
      </top>
      <bottom style="medium">
        <color rgb="FF333333"/>
      </bottom>
      <diagonal/>
    </border>
    <border>
      <left/>
      <right/>
      <top style="medium">
        <color rgb="FF333333"/>
      </top>
      <bottom style="medium">
        <color rgb="FF333333"/>
      </bottom>
      <diagonal/>
    </border>
  </borders>
  <cellStyleXfs count="1">
    <xf numFmtId="0" fontId="0" fillId="0" borderId="0"/>
  </cellStyleXfs>
  <cellXfs count="143">
    <xf numFmtId="0" fontId="0" fillId="0" borderId="0" pivotButton="0" quotePrefix="0" xfId="0"/>
    <xf numFmtId="0" fontId="2" fillId="0" borderId="0" applyAlignment="1" pivotButton="0" quotePrefix="0" xfId="0">
      <alignment horizontal="left" vertical="center" wrapText="1"/>
    </xf>
    <xf numFmtId="0" fontId="3" fillId="3" borderId="1" applyAlignment="1" pivotButton="0" quotePrefix="0" xfId="0">
      <alignment horizontal="center" vertical="center" wrapText="1"/>
    </xf>
    <xf numFmtId="0" fontId="4" fillId="4" borderId="1" applyAlignment="1" pivotButton="0" quotePrefix="0" xfId="0">
      <alignment horizontal="center" vertical="center" wrapText="1"/>
    </xf>
    <xf numFmtId="3" fontId="4" fillId="4" borderId="1" applyAlignment="1" pivotButton="0" quotePrefix="0" xfId="0">
      <alignment horizontal="center" vertical="center" wrapText="1"/>
    </xf>
    <xf numFmtId="3" fontId="4"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6" borderId="1" applyAlignment="1" pivotButton="0" quotePrefix="0" xfId="0">
      <alignment horizontal="center" vertical="center" wrapText="1"/>
    </xf>
    <xf numFmtId="3" fontId="4" fillId="7" borderId="1" applyAlignment="1" pivotButton="0" quotePrefix="0" xfId="0">
      <alignment horizontal="center" vertical="center" wrapText="1"/>
    </xf>
    <xf numFmtId="164" fontId="4" fillId="7" borderId="1" applyAlignment="1" pivotButton="0" quotePrefix="0" xfId="0">
      <alignment horizontal="center" vertical="center" wrapText="1"/>
    </xf>
    <xf numFmtId="0" fontId="0" fillId="6"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right" vertical="center" wrapText="1"/>
    </xf>
    <xf numFmtId="1" fontId="4" fillId="4"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right" vertical="center" wrapText="1"/>
    </xf>
    <xf numFmtId="0" fontId="2" fillId="0" borderId="1" applyAlignment="1" pivotButton="0" quotePrefix="0" xfId="0">
      <alignment horizontal="right" vertical="center" wrapText="1"/>
    </xf>
    <xf numFmtId="49" fontId="4" fillId="5" borderId="1" applyAlignment="1" pivotButton="0" quotePrefix="0" xfId="0">
      <alignment horizontal="center" vertical="center" wrapText="1"/>
    </xf>
    <xf numFmtId="0" fontId="2" fillId="0" borderId="1" applyAlignment="1" pivotButton="0" quotePrefix="0" xfId="0">
      <alignment horizontal="left" vertical="center" wrapText="1"/>
    </xf>
    <xf numFmtId="0" fontId="0" fillId="0" borderId="1" pivotButton="0" quotePrefix="0" xfId="0"/>
    <xf numFmtId="1" fontId="4" fillId="5" borderId="1" applyAlignment="1" pivotButton="0" quotePrefix="0" xfId="0">
      <alignment horizontal="center" vertical="center" wrapText="1"/>
    </xf>
    <xf numFmtId="0" fontId="6" fillId="6" borderId="1" applyAlignment="1" pivotButton="0" quotePrefix="0" xfId="0">
      <alignment horizontal="right" vertical="center" wrapText="1"/>
    </xf>
    <xf numFmtId="164" fontId="4" fillId="5" borderId="1" applyAlignment="1" pivotButton="0" quotePrefix="0" xfId="0">
      <alignment horizontal="center" vertical="center" wrapText="1"/>
    </xf>
    <xf numFmtId="3" fontId="3" fillId="3" borderId="1" applyAlignment="1" pivotButton="0" quotePrefix="0" xfId="0">
      <alignment horizontal="center" vertical="center" wrapText="1"/>
    </xf>
    <xf numFmtId="164" fontId="3" fillId="3" borderId="1" applyAlignment="1" pivotButton="0" quotePrefix="0" xfId="0">
      <alignment horizontal="center" vertical="center" wrapText="1"/>
    </xf>
    <xf numFmtId="0" fontId="1" fillId="0" borderId="1" applyAlignment="1" pivotButton="0" quotePrefix="0" xfId="0">
      <alignment horizontal="center" vertical="center" wrapText="1"/>
    </xf>
    <xf numFmtId="0" fontId="4" fillId="0" borderId="1" applyAlignment="1" pivotButton="0" quotePrefix="0" xfId="0">
      <alignment horizontal="center" vertical="center" wrapText="1"/>
    </xf>
    <xf numFmtId="165" fontId="1" fillId="7" borderId="1" applyAlignment="1" pivotButton="0" quotePrefix="0" xfId="0">
      <alignment horizontal="center" vertical="center" wrapText="1"/>
    </xf>
    <xf numFmtId="165" fontId="4" fillId="5" borderId="1" applyAlignment="1" pivotButton="0" quotePrefix="0" xfId="0">
      <alignment horizontal="center" vertical="center" wrapText="1"/>
    </xf>
    <xf numFmtId="165" fontId="4" fillId="2" borderId="1" applyAlignment="1" pivotButton="0" quotePrefix="0" xfId="0">
      <alignment horizontal="center" vertical="center" wrapText="1"/>
    </xf>
    <xf numFmtId="0" fontId="3" fillId="3" borderId="1" applyAlignment="1" pivotButton="0" quotePrefix="0" xfId="0">
      <alignment horizontal="left" vertical="center" wrapText="1"/>
    </xf>
    <xf numFmtId="0" fontId="3" fillId="2" borderId="1" applyAlignment="1" pivotButton="0" quotePrefix="0" xfId="0">
      <alignment horizontal="left" vertical="center" wrapText="1"/>
    </xf>
    <xf numFmtId="0" fontId="1" fillId="0" borderId="0" applyAlignment="1" pivotButton="0" quotePrefix="0" xfId="0">
      <alignment horizontal="left" vertical="center" wrapText="1"/>
    </xf>
    <xf numFmtId="0" fontId="6" fillId="6" borderId="1" applyAlignment="1" pivotButton="0" quotePrefix="0" xfId="0">
      <alignment horizontal="right" vertical="center" wrapText="1"/>
    </xf>
    <xf numFmtId="0" fontId="4" fillId="4" borderId="1" applyAlignment="1" pivotButton="0" quotePrefix="0" xfId="0">
      <alignment horizontal="center" vertical="center" wrapText="1"/>
    </xf>
    <xf numFmtId="0" fontId="3" fillId="3" borderId="1" applyAlignment="1" pivotButton="0" quotePrefix="0" xfId="0">
      <alignment horizontal="right" vertical="center" wrapText="1"/>
    </xf>
    <xf numFmtId="0" fontId="2" fillId="0" borderId="0" applyAlignment="1" pivotButton="0" quotePrefix="0" xfId="0">
      <alignment horizontal="left" vertical="center" wrapText="1"/>
    </xf>
    <xf numFmtId="0" fontId="2" fillId="0" borderId="0" applyAlignment="1" pivotButton="0" quotePrefix="0" xfId="0">
      <alignment horizontal="left" vertical="center"/>
    </xf>
    <xf numFmtId="0" fontId="0" fillId="0" borderId="0" pivotButton="0" quotePrefix="0" xfId="0"/>
    <xf numFmtId="16" fontId="4" fillId="4" borderId="1" applyAlignment="1" pivotButton="0" quotePrefix="0" xfId="0">
      <alignment horizontal="center" vertical="center" wrapText="1"/>
    </xf>
    <xf numFmtId="0" fontId="4" fillId="4" borderId="1" applyAlignment="1" pivotButton="0" quotePrefix="0" xfId="0">
      <alignment horizontal="right" vertical="center" wrapText="1"/>
    </xf>
    <xf numFmtId="0" fontId="0" fillId="0" borderId="0" applyAlignment="1" pivotButton="0" quotePrefix="0" xfId="0">
      <alignment wrapText="1"/>
    </xf>
    <xf numFmtId="0" fontId="0" fillId="0" borderId="0" pivotButton="0" quotePrefix="0" xfId="0"/>
    <xf numFmtId="0" fontId="0" fillId="2" borderId="1" pivotButton="0" quotePrefix="0" xfId="0"/>
    <xf numFmtId="0" fontId="0" fillId="0" borderId="4" pivotButton="0" quotePrefix="0" xfId="0"/>
    <xf numFmtId="0" fontId="0" fillId="0" borderId="5" pivotButton="0" quotePrefix="0" xfId="0"/>
    <xf numFmtId="0" fontId="7" fillId="8" borderId="6" applyAlignment="1" pivotButton="0" quotePrefix="0" xfId="0">
      <alignment horizontal="center" vertical="center"/>
    </xf>
    <xf numFmtId="0" fontId="0" fillId="0" borderId="6" applyAlignment="1" pivotButton="0" quotePrefix="0" xfId="0">
      <alignment horizontal="center" vertical="center"/>
    </xf>
    <xf numFmtId="0" fontId="8" fillId="0" borderId="0" pivotButton="0" quotePrefix="0" xfId="0"/>
    <xf numFmtId="0" fontId="0" fillId="0" borderId="6" pivotButton="0" quotePrefix="0" xfId="0"/>
    <xf numFmtId="0" fontId="0" fillId="9" borderId="6" applyAlignment="1" pivotButton="0" quotePrefix="0" xfId="0">
      <alignment horizontal="center" vertical="center"/>
    </xf>
    <xf numFmtId="0" fontId="0" fillId="10" borderId="6" applyAlignment="1" pivotButton="0" quotePrefix="0" xfId="0">
      <alignment horizontal="center" vertical="center"/>
    </xf>
    <xf numFmtId="0" fontId="9" fillId="8" borderId="6" applyAlignment="1" pivotButton="0" quotePrefix="0" xfId="0">
      <alignment horizontal="center" vertical="center" wrapText="1"/>
    </xf>
    <xf numFmtId="0" fontId="9" fillId="8" borderId="6" applyAlignment="1" pivotButton="0" quotePrefix="0" xfId="0">
      <alignment horizontal="center" vertical="center"/>
    </xf>
    <xf numFmtId="0" fontId="5" fillId="9" borderId="6" applyAlignment="1" pivotButton="0" quotePrefix="0" xfId="0">
      <alignment horizontal="center" vertical="center"/>
    </xf>
    <xf numFmtId="0" fontId="5" fillId="10" borderId="6" applyAlignment="1" pivotButton="0" quotePrefix="0" xfId="0">
      <alignment horizontal="center" vertical="center"/>
    </xf>
    <xf numFmtId="0" fontId="0" fillId="9" borderId="6" pivotButton="0" quotePrefix="0" xfId="0"/>
    <xf numFmtId="0" fontId="10" fillId="0" borderId="6" pivotButton="0" quotePrefix="0" xfId="0"/>
    <xf numFmtId="0" fontId="10" fillId="10" borderId="6" applyAlignment="1" pivotButton="0" quotePrefix="0" xfId="0">
      <alignment horizontal="center" vertical="center"/>
    </xf>
    <xf numFmtId="0" fontId="11" fillId="0" borderId="0" pivotButton="0" quotePrefix="0" xfId="0"/>
    <xf numFmtId="9" fontId="0" fillId="0" borderId="6" applyAlignment="1" pivotButton="0" quotePrefix="0" xfId="0">
      <alignment horizontal="center" vertical="center"/>
    </xf>
    <xf numFmtId="0" fontId="12" fillId="0" borderId="6" pivotButton="0" quotePrefix="0" xfId="0"/>
    <xf numFmtId="0" fontId="13" fillId="8" borderId="6" applyAlignment="1" pivotButton="0" quotePrefix="0" xfId="0">
      <alignment horizontal="center" vertical="center"/>
    </xf>
    <xf numFmtId="9" fontId="10" fillId="0" borderId="6" applyAlignment="1" pivotButton="0" quotePrefix="0" xfId="0">
      <alignment horizontal="center" vertical="center"/>
    </xf>
    <xf numFmtId="166" fontId="0" fillId="0" borderId="6" applyAlignment="1" pivotButton="0" quotePrefix="0" xfId="0">
      <alignment horizontal="center" vertical="center"/>
    </xf>
    <xf numFmtId="0" fontId="10" fillId="0" borderId="6" applyAlignment="1" pivotButton="0" quotePrefix="0" xfId="0">
      <alignment horizontal="center" vertical="center"/>
    </xf>
    <xf numFmtId="166" fontId="0" fillId="0" borderId="0" pivotButton="0" quotePrefix="0" xfId="0"/>
    <xf numFmtId="0" fontId="8" fillId="3" borderId="6" applyAlignment="1" pivotButton="0" quotePrefix="0" xfId="0">
      <alignment horizontal="left" vertical="center" wrapText="1"/>
    </xf>
    <xf numFmtId="3" fontId="10" fillId="3" borderId="6" applyAlignment="1" pivotButton="0" quotePrefix="0" xfId="0">
      <alignment horizontal="center" vertical="center"/>
    </xf>
    <xf numFmtId="164" fontId="10" fillId="3" borderId="6" applyAlignment="1" pivotButton="0" quotePrefix="0" xfId="0">
      <alignment horizontal="center" vertical="center"/>
    </xf>
    <xf numFmtId="0" fontId="4" fillId="4" borderId="17" applyAlignment="1" pivotButton="0" quotePrefix="0" xfId="0">
      <alignment horizontal="right" vertical="center" wrapText="1"/>
    </xf>
    <xf numFmtId="3" fontId="4" fillId="4" borderId="17" applyAlignment="1" pivotButton="0" quotePrefix="0" xfId="0">
      <alignment horizontal="center" vertical="center" wrapText="1"/>
    </xf>
    <xf numFmtId="0" fontId="5" fillId="0" borderId="17" applyAlignment="1" pivotButton="0" quotePrefix="0" xfId="0">
      <alignment horizontal="center" vertical="center" wrapText="1"/>
    </xf>
    <xf numFmtId="0" fontId="0" fillId="0" borderId="17" applyAlignment="1" pivotButton="0" quotePrefix="0" xfId="0">
      <alignment horizontal="center" vertical="center"/>
    </xf>
    <xf numFmtId="0" fontId="0" fillId="0" borderId="17" pivotButton="0" quotePrefix="0" xfId="0"/>
    <xf numFmtId="0" fontId="0" fillId="9" borderId="17" applyAlignment="1" pivotButton="0" quotePrefix="0" xfId="0">
      <alignment horizontal="center" vertical="center"/>
    </xf>
    <xf numFmtId="0" fontId="15" fillId="12" borderId="11" applyAlignment="1" pivotButton="0" quotePrefix="0" xfId="0">
      <alignment horizontal="center" vertical="center" wrapText="1"/>
    </xf>
    <xf numFmtId="0" fontId="14" fillId="11" borderId="11" applyAlignment="1" pivotButton="0" quotePrefix="0" xfId="0">
      <alignment horizontal="center" vertical="center" wrapText="1"/>
    </xf>
    <xf numFmtId="0" fontId="16" fillId="13" borderId="11" applyAlignment="1" pivotButton="0" quotePrefix="0" xfId="0">
      <alignment horizontal="center" vertical="center" wrapText="1"/>
    </xf>
    <xf numFmtId="3" fontId="17" fillId="0" borderId="12" applyAlignment="1" pivotButton="0" quotePrefix="0" xfId="0">
      <alignment horizontal="center" vertical="center" wrapText="1"/>
    </xf>
    <xf numFmtId="164" fontId="17" fillId="0" borderId="12" applyAlignment="1" pivotButton="0" quotePrefix="0" xfId="0">
      <alignment horizontal="center" vertical="center" wrapText="1"/>
    </xf>
    <xf numFmtId="0" fontId="17" fillId="0" borderId="12" applyAlignment="1" pivotButton="0" quotePrefix="0" xfId="0">
      <alignment horizontal="center" vertical="center" wrapText="1"/>
    </xf>
    <xf numFmtId="0" fontId="17" fillId="14" borderId="12" applyAlignment="1" pivotButton="0" quotePrefix="0" xfId="0">
      <alignment horizontal="center" vertical="center" wrapText="1"/>
    </xf>
    <xf numFmtId="3" fontId="17" fillId="14" borderId="12" applyAlignment="1" pivotButton="0" quotePrefix="0" xfId="0">
      <alignment horizontal="center" vertical="center" wrapText="1"/>
    </xf>
    <xf numFmtId="3" fontId="17" fillId="15" borderId="12" applyAlignment="1" pivotButton="0" quotePrefix="0" xfId="0">
      <alignment horizontal="center" vertical="center" wrapText="1"/>
    </xf>
    <xf numFmtId="0" fontId="14" fillId="16" borderId="12" applyAlignment="1" pivotButton="0" quotePrefix="0" xfId="0">
      <alignment horizontal="center" vertical="center" wrapText="1"/>
    </xf>
    <xf numFmtId="0" fontId="0" fillId="0" borderId="15" pivotButton="0" quotePrefix="0" xfId="0"/>
    <xf numFmtId="0" fontId="0" fillId="0" borderId="16" pivotButton="0" quotePrefix="0" xfId="0"/>
    <xf numFmtId="3" fontId="16" fillId="17" borderId="12" applyAlignment="1" pivotButton="0" quotePrefix="0" xfId="0">
      <alignment horizontal="center" vertical="center" wrapText="1"/>
    </xf>
    <xf numFmtId="0" fontId="0" fillId="0" borderId="9" pivotButton="0" quotePrefix="0" xfId="0"/>
    <xf numFmtId="0" fontId="0" fillId="0" borderId="10" pivotButton="0" quotePrefix="0" xfId="0"/>
    <xf numFmtId="164" fontId="16" fillId="17" borderId="12" applyAlignment="1" pivotButton="0" quotePrefix="0" xfId="0">
      <alignment horizontal="center" vertical="center" wrapText="1"/>
    </xf>
    <xf numFmtId="0" fontId="0" fillId="0" borderId="20" pivotButton="0" quotePrefix="0" xfId="0"/>
    <xf numFmtId="0" fontId="14" fillId="18" borderId="11" applyAlignment="1" pivotButton="0" quotePrefix="0" xfId="0">
      <alignment horizontal="center" vertical="center" wrapText="1"/>
    </xf>
    <xf numFmtId="0" fontId="0" fillId="18" borderId="11" pivotButton="0" quotePrefix="0" xfId="0"/>
    <xf numFmtId="0" fontId="0" fillId="11" borderId="11" pivotButton="0" quotePrefix="0" xfId="0"/>
    <xf numFmtId="0" fontId="16" fillId="18" borderId="11" applyAlignment="1" pivotButton="0" quotePrefix="0" xfId="0">
      <alignment horizontal="center" vertical="center" wrapText="1"/>
    </xf>
    <xf numFmtId="0" fontId="3" fillId="0" borderId="12" applyAlignment="1" pivotButton="0" quotePrefix="0" xfId="0">
      <alignment horizontal="center" vertical="center" wrapText="1"/>
    </xf>
    <xf numFmtId="0" fontId="15" fillId="12" borderId="12" applyAlignment="1" pivotButton="0" quotePrefix="0" xfId="0">
      <alignment horizontal="center" vertical="center" wrapText="1"/>
    </xf>
    <xf numFmtId="3" fontId="4" fillId="0" borderId="1" applyAlignment="1" pivotButton="0" quotePrefix="0" xfId="0">
      <alignment horizontal="center" vertical="center" wrapText="1"/>
    </xf>
    <xf numFmtId="0" fontId="3" fillId="0" borderId="1" applyAlignment="1" pivotButton="0" quotePrefix="0" xfId="0">
      <alignment horizontal="center" vertical="center" wrapText="1"/>
    </xf>
    <xf numFmtId="0" fontId="17" fillId="0" borderId="12" pivotButton="0" quotePrefix="0" xfId="0"/>
    <xf numFmtId="166" fontId="17" fillId="0" borderId="12" pivotButton="0" quotePrefix="0" xfId="0"/>
    <xf numFmtId="0" fontId="18" fillId="11" borderId="11" applyAlignment="1" pivotButton="0" quotePrefix="0" xfId="0">
      <alignment horizontal="left" vertical="center" wrapText="1"/>
    </xf>
    <xf numFmtId="0" fontId="18" fillId="11" borderId="11" applyAlignment="1" pivotButton="0" quotePrefix="0" xfId="0">
      <alignment horizontal="center" vertical="center" wrapText="1"/>
    </xf>
    <xf numFmtId="0" fontId="19" fillId="0" borderId="12" applyAlignment="1" pivotButton="0" quotePrefix="0" xfId="0">
      <alignment horizontal="left" vertical="center" wrapText="1"/>
    </xf>
    <xf numFmtId="0" fontId="14" fillId="0" borderId="12" applyAlignment="1" pivotButton="0" quotePrefix="0" xfId="0">
      <alignment horizontal="right" vertical="center"/>
    </xf>
    <xf numFmtId="0" fontId="16" fillId="19" borderId="12" applyAlignment="1" pivotButton="0" quotePrefix="0" xfId="0">
      <alignment horizontal="center" vertical="center" wrapText="1"/>
    </xf>
    <xf numFmtId="0" fontId="17" fillId="0" borderId="12" applyAlignment="1" pivotButton="0" quotePrefix="0" xfId="0">
      <alignment horizontal="left" vertical="center" wrapText="1"/>
    </xf>
    <xf numFmtId="0" fontId="17" fillId="20" borderId="12" applyAlignment="1" pivotButton="0" quotePrefix="0" xfId="0">
      <alignment horizontal="left" vertical="center" wrapText="1"/>
    </xf>
    <xf numFmtId="3" fontId="17" fillId="19" borderId="12" applyAlignment="1" pivotButton="0" quotePrefix="0" xfId="0">
      <alignment horizontal="center" vertical="center" wrapText="1"/>
    </xf>
    <xf numFmtId="0" fontId="17" fillId="21" borderId="12" applyAlignment="1" pivotButton="0" quotePrefix="0" xfId="0">
      <alignment horizontal="center" vertical="center" wrapText="1"/>
    </xf>
    <xf numFmtId="3" fontId="19" fillId="19" borderId="12" applyAlignment="1" pivotButton="0" quotePrefix="0" xfId="0">
      <alignment horizontal="center" vertical="center" wrapText="1"/>
    </xf>
    <xf numFmtId="0" fontId="16" fillId="16" borderId="12" applyAlignment="1" pivotButton="0" quotePrefix="0" xfId="0">
      <alignment horizontal="left" vertical="center" wrapText="1"/>
    </xf>
    <xf numFmtId="0" fontId="16" fillId="16" borderId="12" applyAlignment="1" pivotButton="0" quotePrefix="0" xfId="0">
      <alignment horizontal="center" vertical="center" wrapText="1"/>
    </xf>
    <xf numFmtId="0" fontId="16" fillId="17" borderId="12" applyAlignment="1" pivotButton="0" quotePrefix="0" xfId="0">
      <alignment horizontal="left" vertical="center" wrapText="1"/>
    </xf>
    <xf numFmtId="0" fontId="16" fillId="0" borderId="12" applyAlignment="1" pivotButton="0" quotePrefix="0" xfId="0">
      <alignment horizontal="right" vertical="center"/>
    </xf>
    <xf numFmtId="3" fontId="16" fillId="0" borderId="12" applyAlignment="1" pivotButton="0" quotePrefix="0" xfId="0">
      <alignment horizontal="center" vertical="center" wrapText="1"/>
    </xf>
    <xf numFmtId="0" fontId="16" fillId="0" borderId="12" applyAlignment="1" pivotButton="0" quotePrefix="0" xfId="0">
      <alignment horizontal="center" vertical="center" wrapText="1"/>
    </xf>
    <xf numFmtId="0" fontId="15" fillId="12" borderId="12" applyAlignment="1" pivotButton="0" quotePrefix="0" xfId="0">
      <alignment horizontal="left" vertical="center" wrapText="1"/>
    </xf>
    <xf numFmtId="0" fontId="14" fillId="19" borderId="11" applyAlignment="1" pivotButton="0" quotePrefix="0" xfId="0">
      <alignment horizontal="left" vertical="center" wrapText="1"/>
    </xf>
    <xf numFmtId="0" fontId="14" fillId="19" borderId="11" applyAlignment="1" pivotButton="0" quotePrefix="0" xfId="0">
      <alignment horizontal="center" vertical="center" wrapText="1"/>
    </xf>
    <xf numFmtId="0" fontId="17" fillId="15" borderId="12" applyAlignment="1" pivotButton="0" quotePrefix="0" xfId="0">
      <alignment horizontal="center" vertical="center" wrapText="1"/>
    </xf>
    <xf numFmtId="0" fontId="16" fillId="16" borderId="12" applyAlignment="1" pivotButton="0" quotePrefix="0" xfId="0">
      <alignment horizontal="right" vertical="center"/>
    </xf>
    <xf numFmtId="0" fontId="18" fillId="12" borderId="11" applyAlignment="1" pivotButton="0" quotePrefix="0" xfId="0">
      <alignment horizontal="left" vertical="center" wrapText="1"/>
    </xf>
    <xf numFmtId="0" fontId="18" fillId="12" borderId="11" applyAlignment="1" pivotButton="0" quotePrefix="0" xfId="0">
      <alignment horizontal="center" vertical="center" wrapText="1"/>
    </xf>
    <xf numFmtId="0" fontId="17" fillId="0" borderId="12" applyAlignment="1" pivotButton="0" quotePrefix="0" xfId="0">
      <alignment horizontal="right" vertical="center"/>
    </xf>
    <xf numFmtId="0" fontId="16" fillId="21" borderId="12" applyAlignment="1" pivotButton="0" quotePrefix="0" xfId="0">
      <alignment horizontal="center" vertical="center" wrapText="1"/>
    </xf>
    <xf numFmtId="0" fontId="14" fillId="11" borderId="11" applyAlignment="1" pivotButton="0" quotePrefix="0" xfId="0">
      <alignment horizontal="left" vertical="center" wrapText="1"/>
    </xf>
    <xf numFmtId="0" fontId="17" fillId="14" borderId="12" applyAlignment="1" pivotButton="0" quotePrefix="0" xfId="0">
      <alignment horizontal="left" vertical="center" wrapText="1"/>
    </xf>
    <xf numFmtId="3" fontId="16" fillId="16" borderId="12" applyAlignment="1" pivotButton="0" quotePrefix="0" xfId="0">
      <alignment horizontal="center" vertical="center" wrapText="1"/>
    </xf>
    <xf numFmtId="3" fontId="16" fillId="19" borderId="12" applyAlignment="1" pivotButton="0" quotePrefix="0" xfId="0">
      <alignment horizontal="center" vertical="center" wrapText="1"/>
    </xf>
    <xf numFmtId="164" fontId="17" fillId="19" borderId="12" applyAlignment="1" pivotButton="0" quotePrefix="0" xfId="0">
      <alignment horizontal="center" vertical="center" wrapText="1"/>
    </xf>
    <xf numFmtId="3" fontId="16" fillId="15" borderId="12" applyAlignment="1" pivotButton="0" quotePrefix="0" xfId="0">
      <alignment horizontal="center" vertical="center" wrapText="1"/>
    </xf>
    <xf numFmtId="0" fontId="18" fillId="21" borderId="11" applyAlignment="1" pivotButton="0" quotePrefix="0" xfId="0">
      <alignment horizontal="left" vertical="center" wrapText="1"/>
    </xf>
    <xf numFmtId="0" fontId="18" fillId="21" borderId="11" applyAlignment="1" pivotButton="0" quotePrefix="0" xfId="0">
      <alignment horizontal="center" vertical="center" wrapText="1"/>
    </xf>
    <xf numFmtId="0" fontId="16" fillId="0" borderId="12" applyAlignment="1" pivotButton="0" quotePrefix="0" xfId="0">
      <alignment horizontal="left" vertical="center" wrapText="1"/>
    </xf>
    <xf numFmtId="164" fontId="17" fillId="15" borderId="12" applyAlignment="1" pivotButton="0" quotePrefix="0" xfId="0">
      <alignment horizontal="center" vertical="center" wrapText="1"/>
    </xf>
    <xf numFmtId="0" fontId="16" fillId="14" borderId="12" applyAlignment="1" pivotButton="0" quotePrefix="0" xfId="0">
      <alignment horizontal="center" vertical="center" wrapText="1"/>
    </xf>
    <xf numFmtId="0" fontId="17" fillId="19" borderId="12" applyAlignment="1" pivotButton="0" quotePrefix="0" xfId="0">
      <alignment horizontal="center" vertical="center" wrapText="1"/>
    </xf>
    <xf numFmtId="0" fontId="14" fillId="0" borderId="12" applyAlignment="1" pivotButton="0" quotePrefix="0" xfId="0">
      <alignment horizontal="left" vertical="center" wrapText="1"/>
    </xf>
    <xf numFmtId="0" fontId="18" fillId="11" borderId="12" applyAlignment="1" pivotButton="0" quotePrefix="0" xfId="0">
      <alignment horizontal="center" vertical="center" wrapText="1"/>
    </xf>
    <xf numFmtId="0" fontId="19" fillId="0" borderId="12" applyAlignment="1" pivotButton="0" quotePrefix="0" xfId="0">
      <alignment horizontal="center" vertical="center" wrapText="1"/>
    </xf>
  </cellXfs>
  <cellStyles count="1">
    <cellStyle name="Normal" xfId="0" builtinId="0"/>
  </cellStyles>
  <dxfs count="5">
    <dxf>
      <font>
        <b val="1"/>
        <color rgb="009C0006"/>
      </font>
      <fill>
        <patternFill patternType="solid">
          <fgColor rgb="FFFFC7CE"/>
          <bgColor rgb="FFFFC7CE"/>
        </patternFill>
      </fill>
    </dxf>
    <dxf>
      <font>
        <color rgb="009C0006"/>
      </font>
      <fill>
        <patternFill patternType="solid">
          <fgColor rgb="FFFFC7CE"/>
          <bgColor rgb="FFFFC7CE"/>
        </patternFill>
      </fill>
    </dxf>
    <dxf>
      <fill>
        <patternFill patternType="solid">
          <fgColor rgb="FFFFC7CE"/>
          <bgColor rgb="FFFFC7CE"/>
        </patternFill>
      </fill>
    </dxf>
    <dxf>
      <font>
        <name val="Calibri"/>
        <b val="1"/>
        <color rgb="009C0006"/>
        <sz val="10"/>
      </font>
      <fill>
        <patternFill patternType="solid">
          <fgColor rgb="FFFFC7CE"/>
          <bgColor rgb="FFFFC7CE"/>
        </patternFill>
      </fill>
    </dxf>
    <dxf>
      <font>
        <name val="Calibri"/>
        <b val="1"/>
        <color rgb="00006100"/>
        <sz val="14"/>
      </font>
      <fill>
        <patternFill patternType="solid">
          <fgColor rgb="FF92D050"/>
          <bgColor rgb="FF92D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3450"/>
    <outlinePr summaryBelow="1" summaryRight="1"/>
    <pageSetUpPr/>
  </sheetPr>
  <dimension ref="A1:I94"/>
  <sheetViews>
    <sheetView workbookViewId="0">
      <pane ySplit="5" topLeftCell="A62" activePane="bottomLeft" state="frozen"/>
      <selection pane="bottomLeft" activeCell="G74" sqref="G74"/>
    </sheetView>
  </sheetViews>
  <sheetFormatPr baseColWidth="8" defaultRowHeight="15"/>
  <cols>
    <col width="40" customWidth="1" style="42" min="1" max="1"/>
    <col width="12" bestFit="1" customWidth="1" style="42" min="2" max="2"/>
    <col width="15" bestFit="1" customWidth="1" style="42" min="3" max="3"/>
    <col width="24" customWidth="1" style="42" min="4" max="5"/>
    <col width="17" customWidth="1" style="42" min="5" max="5"/>
    <col width="40" customWidth="1" style="42" min="6" max="6"/>
    <col width="37" customWidth="1" style="42" min="7" max="7"/>
    <col width="16" customWidth="1" style="42" min="8" max="8"/>
    <col width="12" customWidth="1" style="42" min="9" max="9"/>
  </cols>
  <sheetData>
    <row r="1" ht="28.5" customHeight="1" s="42">
      <c r="A1" s="32" t="inlineStr">
        <is>
          <t>📊 MASTER DATA — 비용 파라미터 (수정 시 전 시트 자동 반영)</t>
        </is>
      </c>
    </row>
    <row r="2">
      <c r="A2" s="37" t="inlineStr">
        <is>
          <t>⚠️ 🟡노란색=직접입력 | 🔵파란색=자동계산 | ⬜빈칸=신규항목 추가용</t>
        </is>
      </c>
    </row>
    <row r="3">
      <c r="A3" s="37" t="inlineStr">
        <is>
          <t xml:space="preserve">    새 코스·호텔·편명 추가는 빈칸에 직접 입력 → 자동으로 드롭다운에 반영</t>
        </is>
      </c>
    </row>
    <row r="5">
      <c r="A5" s="31" t="inlineStr">
        <is>
          <t>⛳ GOLF COURSES (1인 1라운드, USD)</t>
        </is>
      </c>
      <c r="B5" s="44" t="n"/>
      <c r="C5" s="44" t="n"/>
      <c r="D5" s="44" t="n"/>
      <c r="E5" s="44" t="n"/>
      <c r="F5" s="44" t="n"/>
      <c r="G5" s="45" t="n"/>
    </row>
    <row r="6" ht="30.75" customHeight="1" s="42">
      <c r="A6" s="2" t="inlineStr">
        <is>
          <t>Course</t>
        </is>
      </c>
      <c r="B6" s="2" t="inlineStr">
        <is>
          <t>Cost ($)</t>
        </is>
      </c>
      <c r="C6" s="2" t="inlineStr">
        <is>
          <t>Sell ($)</t>
        </is>
      </c>
      <c r="D6" s="2" t="inlineStr">
        <is>
          <t>Margin ($)</t>
        </is>
      </c>
      <c r="E6" s="2" t="inlineStr">
        <is>
          <t>Replay Rate ($)</t>
        </is>
      </c>
      <c r="F6" s="2" t="inlineStr">
        <is>
          <t>Notes</t>
        </is>
      </c>
      <c r="G6" s="2" t="n"/>
    </row>
    <row r="7">
      <c r="A7" s="70" t="inlineStr">
        <is>
          <t>Hidden Valley GC</t>
        </is>
      </c>
      <c r="B7" s="71" t="n">
        <v>109</v>
      </c>
      <c r="C7" s="71" t="n">
        <v>109</v>
      </c>
      <c r="D7" s="5">
        <f>IF(A7="","",C7-B7)</f>
        <v/>
      </c>
      <c r="E7" s="4" t="n">
        <v>111</v>
      </c>
      <c r="F7" s="6" t="inlineStr">
        <is>
          <t>Member guest | Cart incl. | Replay ~50%</t>
        </is>
      </c>
    </row>
    <row r="8">
      <c r="A8" s="70" t="inlineStr">
        <is>
          <t>Sandpiper GC</t>
        </is>
      </c>
      <c r="B8" s="71" t="n">
        <v>130</v>
      </c>
      <c r="C8" s="71" t="n">
        <v>130</v>
      </c>
      <c r="D8" s="5">
        <f>IF(A8="","",C8-B8)</f>
        <v/>
      </c>
      <c r="E8" s="4" t="n">
        <v>120</v>
      </c>
      <c r="F8" s="6" t="inlineStr">
        <is>
          <t>UnderPar deal | Replay FREE | Non-Resident</t>
        </is>
      </c>
    </row>
    <row r="9" ht="30.75" customHeight="1" s="42">
      <c r="A9" s="70" t="inlineStr">
        <is>
          <t>Trump National LA</t>
        </is>
      </c>
      <c r="B9" s="71" t="n">
        <v>210</v>
      </c>
      <c r="C9" s="71" t="n">
        <v>210</v>
      </c>
      <c r="D9" s="5">
        <f>IF(A9="","",C9-B9)</f>
        <v/>
      </c>
      <c r="E9" s="4" t="n">
        <v>45</v>
      </c>
      <c r="F9" s="6" t="inlineStr">
        <is>
          <t>teeitup.com | 9Stamps=1free | Replay twilight</t>
        </is>
      </c>
    </row>
    <row r="10">
      <c r="A10" s="40" t="n"/>
      <c r="B10" s="4" t="n"/>
      <c r="C10" s="4" t="n"/>
      <c r="D10" s="5">
        <f>IF(A10="","",C10-B10)</f>
        <v/>
      </c>
      <c r="E10" s="4" t="n"/>
      <c r="F10" s="6" t="n"/>
    </row>
    <row r="11">
      <c r="A11" s="40" t="n"/>
      <c r="B11" s="4" t="n"/>
      <c r="C11" s="4" t="n"/>
      <c r="D11" s="5">
        <f>IF(A11="","",C11-B11)</f>
        <v/>
      </c>
      <c r="E11" s="4" t="n"/>
      <c r="F11" s="6" t="n"/>
    </row>
    <row r="12">
      <c r="A12" s="40" t="n"/>
      <c r="B12" s="4" t="n"/>
      <c r="C12" s="4" t="n"/>
      <c r="D12" s="5">
        <f>IF(A12="","",C12-B12)</f>
        <v/>
      </c>
      <c r="E12" s="4" t="n"/>
      <c r="F12" s="6" t="n"/>
    </row>
    <row r="13">
      <c r="A13" s="40" t="n"/>
      <c r="B13" s="4" t="n"/>
      <c r="C13" s="4" t="n"/>
      <c r="D13" s="5">
        <f>IF(A13="","",C13-B13)</f>
        <v/>
      </c>
      <c r="E13" s="4" t="n"/>
      <c r="F13" s="6" t="n"/>
    </row>
    <row r="14">
      <c r="A14" s="40" t="n"/>
      <c r="B14" s="4" t="n"/>
      <c r="C14" s="4" t="n"/>
      <c r="D14" s="5">
        <f>IF(A14="","",C14-B14)</f>
        <v/>
      </c>
      <c r="E14" s="4" t="n"/>
      <c r="F14" s="6" t="n"/>
    </row>
    <row r="17">
      <c r="A17" s="31" t="inlineStr">
        <is>
          <t>🏨 HOTEL (1인 1박, Double Occupancy, USD)</t>
        </is>
      </c>
      <c r="B17" s="44" t="n"/>
      <c r="C17" s="44" t="n"/>
      <c r="D17" s="44" t="n"/>
      <c r="E17" s="44" t="n"/>
      <c r="F17" s="44" t="n"/>
      <c r="G17" s="45" t="n"/>
    </row>
    <row r="18">
      <c r="A18" s="2" t="inlineStr">
        <is>
          <t>Hotel</t>
        </is>
      </c>
      <c r="B18" s="2" t="inlineStr">
        <is>
          <t>Cost/night</t>
        </is>
      </c>
      <c r="C18" s="2" t="inlineStr">
        <is>
          <t>Sell/night</t>
        </is>
      </c>
      <c r="D18" s="2" t="inlineStr">
        <is>
          <t>Margin</t>
        </is>
      </c>
      <c r="E18" s="2" t="n"/>
      <c r="F18" s="2" t="inlineStr">
        <is>
          <t>Notes</t>
        </is>
      </c>
      <c r="G18" s="2" t="n"/>
    </row>
    <row r="19" ht="16.5" customHeight="1" s="42">
      <c r="A19" s="70" t="inlineStr">
        <is>
          <t>Beverly Wilshire (5★) / Same Tier</t>
        </is>
      </c>
      <c r="B19" s="71" t="n">
        <v>275</v>
      </c>
      <c r="C19" s="71" t="n">
        <v>375</v>
      </c>
      <c r="D19" s="5">
        <f>IF(A19="","",C19-B19)</f>
        <v/>
      </c>
      <c r="F19" s="6" t="inlineStr">
        <is>
          <t>$550/room ÷ 2 persons</t>
        </is>
      </c>
    </row>
    <row r="20">
      <c r="A20" s="40" t="n"/>
      <c r="B20" s="4" t="n"/>
      <c r="C20" s="4" t="n"/>
      <c r="D20" s="5">
        <f>IF(A20="","",C20-B20)</f>
        <v/>
      </c>
      <c r="F20" s="6" t="n"/>
    </row>
    <row r="21">
      <c r="A21" s="40" t="n"/>
      <c r="B21" s="4" t="n"/>
      <c r="C21" s="4" t="n"/>
      <c r="D21" s="5">
        <f>IF(A21="","",C21-B21)</f>
        <v/>
      </c>
      <c r="F21" s="6" t="n"/>
    </row>
    <row r="22">
      <c r="A22" s="40" t="n"/>
      <c r="B22" s="4" t="n"/>
      <c r="C22" s="4" t="n"/>
      <c r="D22" s="5">
        <f>IF(A22="","",C22-B22)</f>
        <v/>
      </c>
      <c r="F22" s="6" t="n"/>
    </row>
    <row r="23">
      <c r="A23" s="40" t="n"/>
      <c r="B23" s="4" t="n"/>
      <c r="C23" s="4" t="n"/>
      <c r="D23" s="5">
        <f>IF(A23="","",C23-B23)</f>
        <v/>
      </c>
      <c r="F23" s="6" t="n"/>
    </row>
    <row r="24">
      <c r="A24" s="40" t="n"/>
      <c r="B24" s="4" t="n"/>
      <c r="C24" s="4" t="n"/>
      <c r="D24" s="5">
        <f>IF(A24="","",C24-B24)</f>
        <v/>
      </c>
      <c r="F24" s="6" t="n"/>
    </row>
    <row r="26">
      <c r="A26" s="31" t="inlineStr">
        <is>
          <t>🚐 TRANSPORT (1인 기준, 4인 1조, USD)</t>
        </is>
      </c>
      <c r="B26" s="44" t="n"/>
      <c r="C26" s="44" t="n"/>
      <c r="D26" s="44" t="n"/>
      <c r="E26" s="44" t="n"/>
      <c r="F26" s="44" t="n"/>
      <c r="G26" s="45" t="n"/>
    </row>
    <row r="27">
      <c r="A27" s="2" t="inlineStr">
        <is>
          <t>Item</t>
        </is>
      </c>
      <c r="B27" s="2" t="inlineStr">
        <is>
          <t>Cost/p</t>
        </is>
      </c>
      <c r="C27" s="2" t="inlineStr">
        <is>
          <t>Sell/p</t>
        </is>
      </c>
      <c r="D27" s="2" t="inlineStr">
        <is>
          <t>Margin</t>
        </is>
      </c>
      <c r="E27" s="2" t="n"/>
      <c r="F27" s="2" t="inlineStr">
        <is>
          <t>Notes</t>
        </is>
      </c>
      <c r="G27" s="2" t="n"/>
    </row>
    <row r="28" ht="16.5" customHeight="1" s="42">
      <c r="A28" s="70" t="inlineStr">
        <is>
          <t>Airport Roundtrip Pickup</t>
        </is>
      </c>
      <c r="B28" s="71" t="n">
        <v>75</v>
      </c>
      <c r="C28" s="71" t="n">
        <v>120</v>
      </c>
      <c r="D28" s="5">
        <f>IF(A28="","",C28-B28)</f>
        <v/>
      </c>
      <c r="F28" s="6" t="inlineStr">
        <is>
          <t>$500/day ÷ 4p | Driver=Guide</t>
        </is>
      </c>
    </row>
    <row r="29">
      <c r="A29" s="70" t="inlineStr">
        <is>
          <t>Driver/Guide + Van (일당)</t>
        </is>
      </c>
      <c r="B29" s="71" t="n">
        <v>125</v>
      </c>
      <c r="C29" s="71" t="n">
        <v>175</v>
      </c>
      <c r="D29" s="5">
        <f>IF(A29="","",C29-B29)</f>
        <v/>
      </c>
      <c r="F29" s="6" t="inlineStr">
        <is>
          <t>LAX ↔ Hotel, per person</t>
        </is>
      </c>
    </row>
    <row r="30">
      <c r="A30" s="40" t="n"/>
      <c r="B30" s="4" t="n"/>
      <c r="C30" s="4" t="n"/>
      <c r="D30" s="5">
        <f>IF(A30="","",C30-B30)</f>
        <v/>
      </c>
      <c r="F30" s="6" t="n"/>
    </row>
    <row r="31">
      <c r="A31" s="40" t="n"/>
      <c r="B31" s="4" t="n"/>
      <c r="C31" s="4" t="n"/>
      <c r="D31" s="5">
        <f>IF(A31="","",C31-B31)</f>
        <v/>
      </c>
      <c r="F31" s="6" t="n"/>
    </row>
    <row r="32">
      <c r="A32" s="40" t="n"/>
      <c r="B32" s="4" t="n"/>
      <c r="C32" s="4" t="n"/>
      <c r="D32" s="5">
        <f>IF(A32="","",C32-B32)</f>
        <v/>
      </c>
      <c r="F32" s="6" t="n"/>
    </row>
    <row r="33">
      <c r="A33" s="40" t="n"/>
      <c r="B33" s="4" t="n"/>
      <c r="C33" s="4" t="n"/>
      <c r="D33" s="5">
        <f>IF(A33="","",C33-B33)</f>
        <v/>
      </c>
      <c r="F33" s="6" t="n"/>
    </row>
    <row r="34">
      <c r="A34" s="40" t="n"/>
      <c r="B34" s="4" t="n"/>
      <c r="C34" s="4" t="n"/>
      <c r="D34" s="5">
        <f>IF(A34="","",C34-B34)</f>
        <v/>
      </c>
      <c r="F34" s="6" t="n"/>
    </row>
    <row r="36">
      <c r="A36" s="31" t="inlineStr">
        <is>
          <t>🍽️ MEALS (1인 1끼, USD)</t>
        </is>
      </c>
      <c r="B36" s="44" t="n"/>
      <c r="C36" s="44" t="n"/>
      <c r="D36" s="44" t="n"/>
      <c r="E36" s="44" t="n"/>
      <c r="F36" s="44" t="n"/>
      <c r="G36" s="45" t="n"/>
    </row>
    <row r="37">
      <c r="A37" s="2" t="inlineStr">
        <is>
          <t>Meal</t>
        </is>
      </c>
      <c r="B37" s="2" t="inlineStr">
        <is>
          <t>Cost</t>
        </is>
      </c>
      <c r="C37" s="2" t="inlineStr">
        <is>
          <t>Sell</t>
        </is>
      </c>
      <c r="D37" s="2" t="inlineStr">
        <is>
          <t>Margin</t>
        </is>
      </c>
      <c r="E37" s="2" t="n"/>
      <c r="F37" s="2" t="inlineStr">
        <is>
          <t>Notes</t>
        </is>
      </c>
      <c r="G37" s="2" t="n"/>
    </row>
    <row r="38">
      <c r="A38" s="70" t="inlineStr">
        <is>
          <t>Breakfast (Hotel)</t>
        </is>
      </c>
      <c r="B38" s="71" t="n">
        <v>30</v>
      </c>
      <c r="C38" s="71" t="n">
        <v>45</v>
      </c>
      <c r="D38" s="5">
        <f>IF(A38="","",C38-B38)</f>
        <v/>
      </c>
      <c r="F38" s="6" t="inlineStr">
        <is>
          <t>Daily included</t>
        </is>
      </c>
    </row>
    <row r="39">
      <c r="A39" s="70" t="inlineStr">
        <is>
          <t>Dinner (Regular)</t>
        </is>
      </c>
      <c r="B39" s="71" t="n">
        <v>80</v>
      </c>
      <c r="C39" s="71" t="n">
        <v>120</v>
      </c>
      <c r="D39" s="5">
        <f>IF(A39="","",C39-B39)</f>
        <v/>
      </c>
      <c r="F39" s="6" t="inlineStr">
        <is>
          <t>Daily included</t>
        </is>
      </c>
    </row>
    <row r="40">
      <c r="A40" s="70" t="inlineStr">
        <is>
          <t>Exclusive Dinner (Michelin/Fine)</t>
        </is>
      </c>
      <c r="B40" s="71" t="n">
        <v>120</v>
      </c>
      <c r="C40" s="71" t="n">
        <v>180</v>
      </c>
      <c r="D40" s="5">
        <f>IF(A40="","",C40-B40)</f>
        <v/>
      </c>
      <c r="F40" s="6" t="inlineStr">
        <is>
          <t>Regular dinner</t>
        </is>
      </c>
    </row>
    <row r="41">
      <c r="A41" s="70" t="inlineStr">
        <is>
          <t>Lunch</t>
        </is>
      </c>
      <c r="B41" s="71" t="n">
        <v>40</v>
      </c>
      <c r="C41" s="71" t="n">
        <v>60</v>
      </c>
      <c r="D41" s="5">
        <f>IF(A41="","",C41-B41)</f>
        <v/>
      </c>
      <c r="F41" s="6" t="inlineStr">
        <is>
          <t>2x per trip</t>
        </is>
      </c>
    </row>
    <row r="42">
      <c r="A42" s="40" t="n"/>
      <c r="B42" s="4" t="n"/>
      <c r="C42" s="4" t="n"/>
      <c r="D42" s="5">
        <f>IF(A42="","",C42-B42)</f>
        <v/>
      </c>
      <c r="F42" s="6" t="n"/>
    </row>
    <row r="43">
      <c r="A43" s="40" t="n"/>
      <c r="B43" s="4" t="n"/>
      <c r="C43" s="4" t="n"/>
      <c r="D43" s="5">
        <f>IF(A43="","",C43-B43)</f>
        <v/>
      </c>
      <c r="F43" s="6" t="n"/>
    </row>
    <row r="44">
      <c r="A44" s="40" t="n"/>
      <c r="B44" s="4" t="n"/>
      <c r="C44" s="4" t="n"/>
      <c r="D44" s="5">
        <f>IF(A44="","",C44-B44)</f>
        <v/>
      </c>
      <c r="F44" s="6" t="n"/>
    </row>
    <row r="45">
      <c r="A45" s="40" t="n"/>
      <c r="B45" s="4" t="n"/>
      <c r="C45" s="4" t="n"/>
      <c r="D45" s="5">
        <f>IF(A45="","",C45-B45)</f>
        <v/>
      </c>
      <c r="F45" s="6" t="n"/>
    </row>
    <row r="46">
      <c r="A46" s="40" t="n"/>
      <c r="B46" s="4" t="n"/>
      <c r="C46" s="4" t="n"/>
      <c r="D46" s="5">
        <f>IF(A46="","",C46-B46)</f>
        <v/>
      </c>
      <c r="F46" s="6" t="n"/>
    </row>
    <row r="48">
      <c r="A48" s="31" t="inlineStr">
        <is>
          <t>📦 OTHER (1인 1일, USD)</t>
        </is>
      </c>
      <c r="B48" s="44" t="n"/>
      <c r="C48" s="44" t="n"/>
      <c r="D48" s="44" t="n"/>
      <c r="E48" s="44" t="n"/>
      <c r="F48" s="44" t="n"/>
      <c r="G48" s="45" t="n"/>
    </row>
    <row r="49">
      <c r="A49" s="2" t="inlineStr">
        <is>
          <t>Item</t>
        </is>
      </c>
      <c r="B49" s="2" t="inlineStr">
        <is>
          <t>Cost</t>
        </is>
      </c>
      <c r="C49" s="2" t="inlineStr">
        <is>
          <t>Sell</t>
        </is>
      </c>
      <c r="D49" s="2" t="inlineStr">
        <is>
          <t>Margin</t>
        </is>
      </c>
      <c r="E49" s="2" t="n"/>
      <c r="F49" s="2" t="inlineStr">
        <is>
          <t>Notes</t>
        </is>
      </c>
      <c r="G49" s="2" t="n"/>
    </row>
    <row r="50">
      <c r="A50" s="70" t="inlineStr">
        <is>
          <t>Insurance / Tips / Contingency</t>
        </is>
      </c>
      <c r="B50" s="71" t="n">
        <v>50</v>
      </c>
      <c r="C50" s="71" t="n">
        <v>75</v>
      </c>
      <c r="D50" s="5">
        <f>IF(A50="","",C50-B50)</f>
        <v/>
      </c>
      <c r="F50" s="6" t="inlineStr">
        <is>
          <t>Per person per day</t>
        </is>
      </c>
    </row>
    <row r="51">
      <c r="A51" s="40" t="n"/>
      <c r="B51" s="4" t="n"/>
      <c r="C51" s="4" t="n"/>
      <c r="D51" s="5">
        <f>IF(A51="","",C51-B51)</f>
        <v/>
      </c>
      <c r="F51" s="6" t="n"/>
    </row>
    <row r="52">
      <c r="A52" s="40" t="n"/>
      <c r="B52" s="4" t="n"/>
      <c r="C52" s="4" t="n"/>
      <c r="D52" s="5">
        <f>IF(A52="","",C52-B52)</f>
        <v/>
      </c>
      <c r="F52" s="6" t="n"/>
    </row>
    <row r="53">
      <c r="A53" s="40" t="n"/>
      <c r="B53" s="4" t="n"/>
      <c r="C53" s="4" t="n"/>
      <c r="D53" s="5">
        <f>IF(A53="","",C53-B53)</f>
        <v/>
      </c>
      <c r="F53" s="6" t="n"/>
    </row>
    <row r="54">
      <c r="A54" s="40" t="n"/>
      <c r="B54" s="4" t="n"/>
      <c r="C54" s="4" t="n"/>
      <c r="D54" s="5">
        <f>IF(A54="","",C54-B54)</f>
        <v/>
      </c>
      <c r="F54" s="6" t="n"/>
    </row>
    <row r="55">
      <c r="A55" s="40" t="n"/>
      <c r="B55" s="4" t="n"/>
      <c r="C55" s="4" t="n"/>
      <c r="D55" s="5">
        <f>IF(A55="","",C55-B55)</f>
        <v/>
      </c>
      <c r="F55" s="6" t="n"/>
    </row>
    <row r="56"/>
    <row r="58">
      <c r="A58" s="31" t="inlineStr">
        <is>
          <t>✈️ FLIGHT SCHEDULE — ICN ↔ LAX (현지시간 기준)</t>
        </is>
      </c>
      <c r="B58" s="44" t="n"/>
      <c r="C58" s="44" t="n"/>
      <c r="D58" s="44" t="n"/>
      <c r="E58" s="44" t="n"/>
      <c r="F58" s="44" t="n"/>
      <c r="G58" s="45" t="n"/>
    </row>
    <row r="59" ht="34.5" customHeight="1" s="42">
      <c r="A59" s="2" t="inlineStr">
        <is>
          <t>Flight#</t>
        </is>
      </c>
      <c r="B59" s="2" t="inlineStr">
        <is>
          <t>Airline</t>
        </is>
      </c>
      <c r="C59" s="2" t="inlineStr">
        <is>
          <t>Dep Time (출발)</t>
        </is>
      </c>
      <c r="D59" s="2" t="inlineStr">
        <is>
          <t>Arr Time (도착)</t>
        </is>
      </c>
      <c r="E59" s="2" t="inlineStr">
        <is>
          <t>Direction</t>
        </is>
      </c>
      <c r="F59" s="2" t="inlineStr">
        <is>
          <t>Notes</t>
        </is>
      </c>
      <c r="G59" s="46" t="inlineStr">
        <is>
          <t>Seat Class</t>
        </is>
      </c>
      <c r="H59" s="46" t="inlineStr">
        <is>
          <t>Duration (hrs)</t>
        </is>
      </c>
      <c r="I59" s="46" t="inlineStr">
        <is>
          <t>Aircraft</t>
        </is>
      </c>
    </row>
    <row r="60">
      <c r="A60" s="70" t="inlineStr">
        <is>
          <t>KE011</t>
        </is>
      </c>
      <c r="B60" s="72" t="inlineStr">
        <is>
          <t>Korean Air</t>
        </is>
      </c>
      <c r="C60" s="72" t="inlineStr">
        <is>
          <t>19:40</t>
        </is>
      </c>
      <c r="D60" s="72" t="inlineStr">
        <is>
          <t>14:30</t>
        </is>
      </c>
      <c r="E60" s="72" t="inlineStr">
        <is>
          <t>ICN→LAX</t>
        </is>
      </c>
      <c r="F60" s="72" t="inlineStr">
        <is>
          <t>Daily B747-8</t>
        </is>
      </c>
      <c r="G60" s="73" t="inlineStr">
        <is>
          <t>First | Prestige | Economy</t>
        </is>
      </c>
      <c r="H60" s="73" t="inlineStr">
        <is>
          <t>~11.5</t>
        </is>
      </c>
      <c r="I60" s="73" t="inlineStr">
        <is>
          <t>B747-8</t>
        </is>
      </c>
    </row>
    <row r="61">
      <c r="A61" s="70" t="inlineStr">
        <is>
          <t>KE017</t>
        </is>
      </c>
      <c r="B61" s="72" t="inlineStr">
        <is>
          <t>Korean Air</t>
        </is>
      </c>
      <c r="C61" s="72" t="inlineStr">
        <is>
          <t>14:30</t>
        </is>
      </c>
      <c r="D61" s="72" t="inlineStr">
        <is>
          <t>09:20</t>
        </is>
      </c>
      <c r="E61" s="72" t="inlineStr">
        <is>
          <t>ICN→LAX</t>
        </is>
      </c>
      <c r="F61" s="72" t="inlineStr">
        <is>
          <t>Daily B777</t>
        </is>
      </c>
      <c r="G61" s="73" t="inlineStr">
        <is>
          <t>Prestige | Economy</t>
        </is>
      </c>
      <c r="H61" s="73" t="inlineStr">
        <is>
          <t>~11.5</t>
        </is>
      </c>
      <c r="I61" s="73" t="inlineStr">
        <is>
          <t>B777-300ER</t>
        </is>
      </c>
    </row>
    <row r="62">
      <c r="A62" s="70" t="inlineStr">
        <is>
          <t>OZ202</t>
        </is>
      </c>
      <c r="B62" s="72" t="inlineStr">
        <is>
          <t>Asiana</t>
        </is>
      </c>
      <c r="C62" s="72" t="inlineStr">
        <is>
          <t>14:40</t>
        </is>
      </c>
      <c r="D62" s="72" t="inlineStr">
        <is>
          <t>09:30</t>
        </is>
      </c>
      <c r="E62" s="72" t="inlineStr">
        <is>
          <t>ICN→LAX</t>
        </is>
      </c>
      <c r="F62" s="72" t="inlineStr">
        <is>
          <t>Daily A380</t>
        </is>
      </c>
      <c r="G62" s="73" t="inlineStr">
        <is>
          <t>First Suite | Business | Economy</t>
        </is>
      </c>
      <c r="H62" s="73" t="inlineStr">
        <is>
          <t>~11.5</t>
        </is>
      </c>
      <c r="I62" s="73" t="inlineStr">
        <is>
          <t>A380-800</t>
        </is>
      </c>
    </row>
    <row r="63">
      <c r="A63" s="70" t="inlineStr">
        <is>
          <t>OZ204</t>
        </is>
      </c>
      <c r="B63" s="72" t="inlineStr">
        <is>
          <t>Asiana</t>
        </is>
      </c>
      <c r="C63" s="72" t="inlineStr">
        <is>
          <t>20:40</t>
        </is>
      </c>
      <c r="D63" s="72" t="inlineStr">
        <is>
          <t>15:30</t>
        </is>
      </c>
      <c r="E63" s="72" t="inlineStr">
        <is>
          <t>ICN→LAX</t>
        </is>
      </c>
      <c r="F63" s="72" t="inlineStr">
        <is>
          <t>Daily A350</t>
        </is>
      </c>
      <c r="G63" s="73" t="inlineStr">
        <is>
          <t>Business | Economy</t>
        </is>
      </c>
      <c r="H63" s="73" t="inlineStr">
        <is>
          <t>~11.5</t>
        </is>
      </c>
      <c r="I63" s="73" t="inlineStr">
        <is>
          <t>A350-900</t>
        </is>
      </c>
    </row>
    <row r="64">
      <c r="A64" s="40" t="n"/>
      <c r="B64" s="6" t="n"/>
      <c r="C64" s="6" t="n"/>
      <c r="D64" s="6" t="n"/>
      <c r="E64" s="6" t="n"/>
      <c r="F64" s="6" t="n"/>
    </row>
    <row r="65">
      <c r="A65" s="40" t="n"/>
      <c r="B65" s="6" t="n"/>
      <c r="C65" s="6" t="n"/>
      <c r="D65" s="6" t="n"/>
      <c r="E65" s="6" t="n"/>
      <c r="F65" s="6" t="n"/>
    </row>
    <row r="66">
      <c r="A66" s="40" t="n"/>
      <c r="B66" s="6" t="n"/>
      <c r="C66" s="6" t="n"/>
      <c r="D66" s="6" t="n"/>
      <c r="E66" s="6" t="n"/>
      <c r="F66" s="6" t="n"/>
    </row>
    <row r="67">
      <c r="A67" s="40" t="n"/>
      <c r="B67" s="6" t="n"/>
      <c r="C67" s="6" t="n"/>
      <c r="D67" s="6" t="n"/>
      <c r="E67" s="6" t="n"/>
      <c r="F67" s="6" t="n"/>
    </row>
    <row r="68">
      <c r="A68" s="40" t="n"/>
      <c r="B68" s="6" t="n"/>
      <c r="C68" s="6" t="n"/>
      <c r="D68" s="6" t="n"/>
      <c r="E68" s="6" t="n"/>
      <c r="F68" s="6" t="n"/>
    </row>
    <row r="72">
      <c r="A72" s="31" t="inlineStr">
        <is>
          <t>✈️ RETURN FLIGHTS (LAX → ICN)</t>
        </is>
      </c>
      <c r="B72" s="44" t="n"/>
      <c r="C72" s="44" t="n"/>
      <c r="D72" s="44" t="n"/>
      <c r="E72" s="44" t="n"/>
      <c r="F72" s="44" t="n"/>
      <c r="G72" s="45" t="n"/>
    </row>
    <row r="73" ht="34.5" customHeight="1" s="42">
      <c r="A73" s="2" t="inlineStr">
        <is>
          <t>Flight#</t>
        </is>
      </c>
      <c r="B73" s="2" t="inlineStr">
        <is>
          <t>Airline</t>
        </is>
      </c>
      <c r="C73" s="2" t="inlineStr">
        <is>
          <t>Dep Time (출발)</t>
        </is>
      </c>
      <c r="D73" s="2" t="inlineStr">
        <is>
          <t>Arr Time (도착)</t>
        </is>
      </c>
      <c r="E73" s="2" t="inlineStr">
        <is>
          <t>Direction</t>
        </is>
      </c>
      <c r="F73" s="2" t="inlineStr">
        <is>
          <t>Notes</t>
        </is>
      </c>
      <c r="G73" s="46" t="inlineStr">
        <is>
          <t>Seat Class</t>
        </is>
      </c>
      <c r="H73" s="46" t="inlineStr">
        <is>
          <t>Duration (hrs)</t>
        </is>
      </c>
      <c r="I73" s="46" t="inlineStr">
        <is>
          <t>Aircraft</t>
        </is>
      </c>
    </row>
    <row r="74">
      <c r="A74" s="70" t="inlineStr">
        <is>
          <t>KE012</t>
        </is>
      </c>
      <c r="B74" s="72" t="inlineStr">
        <is>
          <t>Korean Air</t>
        </is>
      </c>
      <c r="C74" s="72" t="inlineStr">
        <is>
          <t>23:50</t>
        </is>
      </c>
      <c r="D74" s="72" t="inlineStr">
        <is>
          <t>05:00+2</t>
        </is>
      </c>
      <c r="E74" s="72" t="inlineStr">
        <is>
          <t>LAX→ICN</t>
        </is>
      </c>
      <c r="F74" s="72" t="inlineStr">
        <is>
          <t xml:space="preserve">Daily B747-8 </t>
        </is>
      </c>
      <c r="G74" s="73" t="inlineStr">
        <is>
          <t>First | Prestige | Economy</t>
        </is>
      </c>
      <c r="H74" s="73" t="inlineStr">
        <is>
          <t>~13</t>
        </is>
      </c>
      <c r="I74" s="73" t="inlineStr">
        <is>
          <t>B747-8</t>
        </is>
      </c>
    </row>
    <row r="75">
      <c r="A75" s="70" t="inlineStr">
        <is>
          <t>KE018</t>
        </is>
      </c>
      <c r="B75" s="72" t="inlineStr">
        <is>
          <t>Korean Air</t>
        </is>
      </c>
      <c r="C75" s="72" t="inlineStr">
        <is>
          <t>13:30</t>
        </is>
      </c>
      <c r="D75" s="72" t="inlineStr">
        <is>
          <t>18:40+1</t>
        </is>
      </c>
      <c r="E75" s="72" t="inlineStr">
        <is>
          <t>LAX→ICN</t>
        </is>
      </c>
      <c r="F75" s="72" t="inlineStr">
        <is>
          <t>Daily B777</t>
        </is>
      </c>
      <c r="G75" s="73" t="inlineStr">
        <is>
          <t>Prestige | Economy</t>
        </is>
      </c>
      <c r="H75" s="73" t="inlineStr">
        <is>
          <t>~13</t>
        </is>
      </c>
      <c r="I75" s="73" t="inlineStr">
        <is>
          <t>B777-300ER</t>
        </is>
      </c>
    </row>
    <row r="76">
      <c r="A76" s="70" t="inlineStr">
        <is>
          <t>OZ201</t>
        </is>
      </c>
      <c r="B76" s="72" t="inlineStr">
        <is>
          <t>Asiana</t>
        </is>
      </c>
      <c r="C76" s="72" t="inlineStr">
        <is>
          <t>23:30</t>
        </is>
      </c>
      <c r="D76" s="72" t="inlineStr">
        <is>
          <t>04:30+2</t>
        </is>
      </c>
      <c r="E76" s="72" t="inlineStr">
        <is>
          <t>LAX→ICN</t>
        </is>
      </c>
      <c r="F76" s="72" t="inlineStr">
        <is>
          <t>Daily A380</t>
        </is>
      </c>
      <c r="G76" s="73" t="inlineStr">
        <is>
          <t>First Suite | Business | Economy</t>
        </is>
      </c>
      <c r="H76" s="73" t="inlineStr">
        <is>
          <t>~13</t>
        </is>
      </c>
      <c r="I76" s="73" t="inlineStr">
        <is>
          <t>A380-800</t>
        </is>
      </c>
    </row>
    <row r="77">
      <c r="A77" s="70" t="inlineStr">
        <is>
          <t>OZ203</t>
        </is>
      </c>
      <c r="B77" s="72" t="inlineStr">
        <is>
          <t>Asiana</t>
        </is>
      </c>
      <c r="C77" s="72" t="inlineStr">
        <is>
          <t>13:00</t>
        </is>
      </c>
      <c r="D77" s="72" t="inlineStr">
        <is>
          <t>18:10+1</t>
        </is>
      </c>
      <c r="E77" s="72" t="inlineStr">
        <is>
          <t>LAX→ICN</t>
        </is>
      </c>
      <c r="F77" s="72" t="inlineStr">
        <is>
          <t>Daily A350</t>
        </is>
      </c>
      <c r="G77" s="73" t="inlineStr">
        <is>
          <t>Business | Economy</t>
        </is>
      </c>
      <c r="H77" s="73" t="inlineStr">
        <is>
          <t>~13</t>
        </is>
      </c>
      <c r="I77" s="73" t="inlineStr">
        <is>
          <t>A350-900</t>
        </is>
      </c>
    </row>
    <row r="78">
      <c r="A78" s="40" t="n"/>
      <c r="B78" s="6" t="n"/>
      <c r="C78" s="6" t="n"/>
      <c r="D78" s="6" t="n"/>
      <c r="E78" s="6" t="n"/>
      <c r="F78" s="6" t="n"/>
    </row>
    <row r="79">
      <c r="A79" s="40" t="n"/>
      <c r="B79" s="6" t="n"/>
      <c r="C79" s="6" t="n"/>
      <c r="D79" s="6" t="n"/>
      <c r="E79" s="6" t="n"/>
      <c r="F79" s="6" t="n"/>
    </row>
    <row r="80">
      <c r="A80" s="40" t="n"/>
      <c r="B80" s="6" t="n"/>
      <c r="C80" s="6" t="n"/>
      <c r="D80" s="6" t="n"/>
      <c r="E80" s="6" t="n"/>
      <c r="F80" s="6" t="n"/>
    </row>
    <row r="81">
      <c r="A81" s="40" t="n"/>
      <c r="B81" s="6" t="n"/>
      <c r="C81" s="6" t="n"/>
      <c r="D81" s="6" t="n"/>
      <c r="E81" s="6" t="n"/>
      <c r="F81" s="6" t="n"/>
    </row>
    <row r="82">
      <c r="A82" s="40" t="n"/>
      <c r="B82" s="6" t="n"/>
      <c r="C82" s="6" t="n"/>
      <c r="D82" s="6" t="n"/>
      <c r="E82" s="6" t="n"/>
      <c r="F82" s="6" t="n"/>
    </row>
    <row r="84">
      <c r="A84" s="48" t="inlineStr">
        <is>
          <t>🎯 ACTIVITIES &amp; EXPERIENCES (1인 1회, USD)</t>
        </is>
      </c>
    </row>
    <row r="85">
      <c r="A85" s="46" t="inlineStr">
        <is>
          <t>Activity</t>
        </is>
      </c>
      <c r="B85" s="46" t="inlineStr">
        <is>
          <t>Cost ($)</t>
        </is>
      </c>
      <c r="C85" s="46" t="inlineStr">
        <is>
          <t>Sell ($)</t>
        </is>
      </c>
      <c r="D85" s="46" t="inlineStr">
        <is>
          <t>Margin ($)</t>
        </is>
      </c>
      <c r="F85" s="46" t="inlineStr">
        <is>
          <t>Per Group?</t>
        </is>
      </c>
      <c r="G85" s="46" t="inlineStr">
        <is>
          <t>Notes</t>
        </is>
      </c>
    </row>
    <row r="86">
      <c r="A86" s="74" t="inlineStr">
        <is>
          <t>(New Activity 5)</t>
        </is>
      </c>
      <c r="B86" s="75" t="n">
        <v>120</v>
      </c>
      <c r="C86" s="75" t="n">
        <v>180</v>
      </c>
      <c r="D86" s="51">
        <f>IF(A86="","",C86-B86)</f>
        <v/>
      </c>
      <c r="E86" s="49" t="n"/>
      <c r="F86" s="49" t="inlineStr">
        <is>
          <t>1p</t>
        </is>
      </c>
      <c r="G86" s="49" t="inlineStr">
        <is>
          <t>Seasonal; group rates available</t>
        </is>
      </c>
    </row>
    <row r="87">
      <c r="A87" s="74" t="inlineStr">
        <is>
          <t>(New Activity 6)</t>
        </is>
      </c>
      <c r="B87" s="75" t="n">
        <v>60</v>
      </c>
      <c r="C87" s="75" t="n">
        <v>90</v>
      </c>
      <c r="D87" s="51">
        <f>IF(A87="","",C87-B87)</f>
        <v/>
      </c>
      <c r="E87" s="49" t="n"/>
      <c r="F87" s="49" t="inlineStr">
        <is>
          <t>1p</t>
        </is>
      </c>
      <c r="G87" s="49" t="inlineStr">
        <is>
          <t>Premium sports bar with food/drinks</t>
        </is>
      </c>
    </row>
    <row r="88">
      <c r="A88" s="74" t="inlineStr">
        <is>
          <t>(New Activity 7)</t>
        </is>
      </c>
      <c r="B88" s="75" t="n">
        <v>0</v>
      </c>
      <c r="C88" s="75" t="n">
        <v>30</v>
      </c>
      <c r="D88" s="51">
        <f>IF(A88="","",C88-B88)</f>
        <v/>
      </c>
      <c r="E88" s="49" t="n"/>
      <c r="F88" s="49" t="inlineStr">
        <is>
          <t>1p</t>
        </is>
      </c>
      <c r="G88" s="49" t="inlineStr">
        <is>
          <t>Guided tour included</t>
        </is>
      </c>
    </row>
    <row r="89">
      <c r="A89" s="74" t="inlineStr">
        <is>
          <t>(New Activity 8)</t>
        </is>
      </c>
      <c r="B89" s="75" t="n">
        <v>60</v>
      </c>
      <c r="C89" s="75" t="n">
        <v>100</v>
      </c>
      <c r="D89" s="51">
        <f>IF(A89="","",C89-B89)</f>
        <v/>
      </c>
      <c r="E89" s="49" t="n"/>
      <c r="F89" s="49" t="inlineStr">
        <is>
          <t>1p</t>
        </is>
      </c>
      <c r="G89" s="49" t="inlineStr">
        <is>
          <t>2hr session; equipment incl.</t>
        </is>
      </c>
    </row>
    <row r="90">
      <c r="A90" s="74" t="inlineStr">
        <is>
          <t>(New Activity 9)</t>
        </is>
      </c>
      <c r="B90" s="49" t="n"/>
      <c r="C90" s="49" t="n"/>
      <c r="D90" s="51">
        <f>IF(A90="","",C90-B90)</f>
        <v/>
      </c>
      <c r="E90" s="49" t="n"/>
      <c r="F90" s="49" t="n"/>
      <c r="G90" s="49" t="n"/>
    </row>
    <row r="91">
      <c r="A91" s="74" t="inlineStr">
        <is>
          <t>Beach/Surf Lesson</t>
        </is>
      </c>
      <c r="B91" s="49" t="n">
        <v>60</v>
      </c>
      <c r="C91" s="49" t="n">
        <v>100</v>
      </c>
      <c r="D91" s="51">
        <f>IF(A91="","",C91-B91)</f>
        <v/>
      </c>
      <c r="E91" s="49" t="n"/>
      <c r="F91" s="49" t="n"/>
      <c r="G91" s="49" t="n"/>
    </row>
    <row r="92">
      <c r="A92" s="74" t="inlineStr">
        <is>
          <t>Local Hiking (Griffith/Runyon)</t>
        </is>
      </c>
      <c r="B92" s="49" t="n">
        <v>0</v>
      </c>
      <c r="C92" s="49" t="n">
        <v>30</v>
      </c>
      <c r="D92" s="51">
        <f>IF(A92="","",C92-B92)</f>
        <v/>
      </c>
      <c r="E92" s="49" t="n"/>
      <c r="F92" s="49" t="n"/>
      <c r="G92" s="49" t="n"/>
    </row>
    <row r="93">
      <c r="A93" s="74" t="inlineStr">
        <is>
          <t>NBA/MLB Game (Ticket)</t>
        </is>
      </c>
      <c r="B93" s="49" t="n">
        <v>120</v>
      </c>
      <c r="C93" s="49" t="n">
        <v>180</v>
      </c>
      <c r="D93" s="51">
        <f>IF(A93="","",C93-B93)</f>
        <v/>
      </c>
      <c r="E93" s="49" t="n"/>
      <c r="F93" s="49" t="n"/>
      <c r="G93" s="49" t="n"/>
    </row>
    <row r="94">
      <c r="A94" s="74" t="inlineStr">
        <is>
          <t>Sports Bar Experience</t>
        </is>
      </c>
      <c r="B94" s="49" t="n">
        <v>60</v>
      </c>
      <c r="C94" s="49" t="n">
        <v>90</v>
      </c>
      <c r="D94" s="51">
        <f>IF(A94="","",C94-B94)</f>
        <v/>
      </c>
      <c r="E94" s="49" t="n"/>
      <c r="F94" s="49" t="n"/>
      <c r="G94" s="49" t="n"/>
    </row>
  </sheetData>
  <mergeCells count="9">
    <mergeCell ref="A84:G84"/>
    <mergeCell ref="A36:G36"/>
    <mergeCell ref="A58:G58"/>
    <mergeCell ref="A1:G1"/>
    <mergeCell ref="A17:G17"/>
    <mergeCell ref="A48:G48"/>
    <mergeCell ref="A26:G26"/>
    <mergeCell ref="A72:G72"/>
    <mergeCell ref="A5:G5"/>
  </mergeCells>
  <pageMargins left="0.75" right="0.75" top="1" bottom="1" header="0.5" footer="0.5"/>
</worksheet>
</file>

<file path=xl/worksheets/sheet2.xml><?xml version="1.0" encoding="utf-8"?>
<worksheet xmlns="http://schemas.openxmlformats.org/spreadsheetml/2006/main">
  <sheetPr>
    <tabColor rgb="FFD4AF37"/>
    <outlinePr summaryBelow="1" summaryRight="1"/>
    <pageSetUpPr/>
  </sheetPr>
  <dimension ref="A1:P10"/>
  <sheetViews>
    <sheetView workbookViewId="0">
      <pane ySplit="4" topLeftCell="A5" activePane="bottomLeft" state="frozen"/>
      <selection pane="bottomLeft" activeCell="I5" sqref="I5"/>
    </sheetView>
  </sheetViews>
  <sheetFormatPr baseColWidth="8" defaultRowHeight="15"/>
  <cols>
    <col width="7" customWidth="1" style="42" min="1" max="1"/>
    <col width="3.7109375" bestFit="1" customWidth="1" style="42" min="2" max="2"/>
    <col width="5.7109375" bestFit="1" customWidth="1" style="42" min="3" max="3"/>
    <col width="12" customWidth="1" style="42" min="4" max="4"/>
    <col width="3" bestFit="1" customWidth="1" style="42" min="5" max="6"/>
    <col width="4" bestFit="1" customWidth="1" style="42" min="7" max="7"/>
    <col width="14" customWidth="1" style="42" min="8" max="8"/>
    <col width="6.28515625" bestFit="1" customWidth="1" style="42" min="9" max="9"/>
    <col width="6.140625" bestFit="1" customWidth="1" style="42" min="10" max="10"/>
    <col width="6.28515625" bestFit="1" customWidth="1" style="42" min="11" max="11"/>
    <col width="6.140625" bestFit="1" customWidth="1" style="42" min="12" max="12"/>
    <col width="5.140625" bestFit="1" customWidth="1" style="42" min="13" max="13"/>
    <col width="7.28515625" bestFit="1" customWidth="1" style="42" min="14" max="14"/>
  </cols>
  <sheetData>
    <row r="1" ht="38.25" customHeight="1" s="42">
      <c r="A1" s="32" t="inlineStr">
        <is>
          <t>🎯 결 TOUR — 대표 패키지 (1인 기준, USD | 중복코스 없음)</t>
        </is>
      </c>
    </row>
    <row r="2">
      <c r="A2" s="37" t="inlineStr">
        <is>
          <t>⚠️ 참고용 대표패키지 → 'Package Selector' 시트에서 자유롭게 커스터마이징</t>
        </is>
      </c>
    </row>
    <row r="4" ht="16.5" customHeight="1" s="42">
      <c r="A4" s="76" t="inlineStr">
        <is>
          <t>No</t>
        </is>
      </c>
      <c r="B4" s="76" t="inlineStr">
        <is>
          <t>ID</t>
        </is>
      </c>
      <c r="C4" s="76" t="inlineStr">
        <is>
          <t>일정</t>
        </is>
      </c>
      <c r="D4" s="76" t="inlineStr">
        <is>
          <t>패키지명</t>
        </is>
      </c>
      <c r="E4" s="76" t="inlineStr">
        <is>
          <t>박</t>
        </is>
      </c>
      <c r="F4" s="76" t="inlineStr">
        <is>
          <t>일</t>
        </is>
      </c>
      <c r="G4" s="76" t="inlineStr">
        <is>
          <t>Rds</t>
        </is>
      </c>
      <c r="H4" s="76" t="inlineStr">
        <is>
          <t>코스구성</t>
        </is>
      </c>
      <c r="I4" s="77" t="inlineStr">
        <is>
          <t>⛳ 골프</t>
        </is>
      </c>
      <c r="J4" s="92" t="n"/>
      <c r="K4" s="93" t="inlineStr">
        <is>
          <t>🔄 리플레이</t>
        </is>
      </c>
      <c r="L4" s="92" t="n"/>
      <c r="M4" s="77" t="inlineStr">
        <is>
          <t>🏨 호텔</t>
        </is>
      </c>
      <c r="N4" s="92" t="n"/>
      <c r="O4" s="76" t="inlineStr">
        <is>
          <t>마진</t>
        </is>
      </c>
      <c r="P4" s="76" t="inlineStr">
        <is>
          <t>마진율</t>
        </is>
      </c>
    </row>
    <row r="5" ht="51" customHeight="1" s="42">
      <c r="A5" s="78" t="n"/>
      <c r="B5" s="78" t="n"/>
      <c r="C5" s="78" t="n"/>
      <c r="D5" s="78" t="n"/>
      <c r="E5" s="78" t="n"/>
      <c r="F5" s="78" t="n"/>
      <c r="G5" s="78" t="n"/>
      <c r="H5" s="78" t="n"/>
      <c r="I5" s="78" t="inlineStr">
        <is>
          <t>Cost</t>
        </is>
      </c>
      <c r="J5" s="78" t="inlineStr">
        <is>
          <t>Sell</t>
        </is>
      </c>
      <c r="K5" s="96" t="inlineStr">
        <is>
          <t>Cost</t>
        </is>
      </c>
      <c r="L5" s="96" t="inlineStr">
        <is>
          <t>Sell</t>
        </is>
      </c>
      <c r="M5" s="78" t="inlineStr">
        <is>
          <t>Cost</t>
        </is>
      </c>
      <c r="N5" s="78" t="inlineStr">
        <is>
          <t>Sell</t>
        </is>
      </c>
      <c r="O5" s="76" t="inlineStr">
        <is>
          <t>마진</t>
        </is>
      </c>
      <c r="P5" s="76" t="inlineStr">
        <is>
          <t>마진율</t>
        </is>
      </c>
    </row>
    <row r="6" ht="51" customHeight="1" s="42">
      <c r="A6" s="6" t="n">
        <v>1</v>
      </c>
      <c r="B6" s="7" t="inlineStr">
        <is>
          <t>S1</t>
        </is>
      </c>
      <c r="C6" s="6" t="inlineStr">
        <is>
          <t>3N4D</t>
        </is>
      </c>
      <c r="D6" s="6" t="inlineStr">
        <is>
          <t>트럼프 + 샌드파이퍼 오션뷰</t>
        </is>
      </c>
      <c r="E6" s="6" t="n">
        <v>3</v>
      </c>
      <c r="F6" s="6" t="n">
        <v>4</v>
      </c>
      <c r="G6" s="6" t="n">
        <v>2</v>
      </c>
      <c r="H6" s="6" t="inlineStr">
        <is>
          <t>Trump×1 + Sand×1</t>
        </is>
      </c>
      <c r="I6" s="5" t="n">
        <v>340</v>
      </c>
      <c r="J6" s="5" t="n">
        <v>745</v>
      </c>
      <c r="K6" s="79" t="n">
        <v>0</v>
      </c>
      <c r="L6" s="79" t="n">
        <v>120</v>
      </c>
      <c r="M6" s="5" t="n">
        <v>825</v>
      </c>
      <c r="N6" s="5" t="n">
        <v>1125</v>
      </c>
      <c r="O6" s="79">
        <f>(J6+L6+N6)-(I6+K6+M6)</f>
        <v/>
      </c>
      <c r="P6" s="80">
        <f>IF(J6+L6+N6&gt;0,(J6+L6+N6-I6-K6-M6)/(J6+L6+N6),0)</f>
        <v/>
      </c>
    </row>
    <row r="7" ht="34.5" customHeight="1" s="42">
      <c r="A7" s="6" t="n">
        <v>2</v>
      </c>
      <c r="B7" s="7" t="inlineStr">
        <is>
          <t>S2</t>
        </is>
      </c>
      <c r="C7" s="6" t="inlineStr">
        <is>
          <t>3N4D</t>
        </is>
      </c>
      <c r="D7" s="6" t="inlineStr">
        <is>
          <t>트럼프 + 히든밸리 밸리뷰</t>
        </is>
      </c>
      <c r="E7" s="6" t="n">
        <v>3</v>
      </c>
      <c r="F7" s="6" t="n">
        <v>4</v>
      </c>
      <c r="G7" s="6" t="n">
        <v>2</v>
      </c>
      <c r="H7" s="6" t="inlineStr">
        <is>
          <t>Trump×1 + HV×1</t>
        </is>
      </c>
      <c r="I7" s="5" t="n">
        <v>319</v>
      </c>
      <c r="J7" s="5" t="n">
        <v>609</v>
      </c>
      <c r="K7" s="79" t="n">
        <v>45</v>
      </c>
      <c r="L7" s="79" t="n">
        <v>45</v>
      </c>
      <c r="M7" s="5" t="n">
        <v>825</v>
      </c>
      <c r="N7" s="5" t="n">
        <v>1125</v>
      </c>
      <c r="O7" s="79">
        <f>(J7+L7+N7)-(I7+K7+M7)</f>
        <v/>
      </c>
      <c r="P7" s="80">
        <f>IF(J7+L7+N7&gt;0,(J7+L7+N7-I7-K7-M7)/(J7+L7+N7),0)</f>
        <v/>
      </c>
    </row>
    <row r="8">
      <c r="A8" s="6" t="n">
        <v>3</v>
      </c>
      <c r="B8" s="7" t="inlineStr">
        <is>
          <t>S3</t>
        </is>
      </c>
      <c r="C8" s="6" t="inlineStr">
        <is>
          <t>3N4D</t>
        </is>
      </c>
      <c r="D8" s="6" t="inlineStr">
        <is>
          <t>샌드파이퍼 + 히든밸리</t>
        </is>
      </c>
      <c r="E8" s="6" t="n">
        <v>3</v>
      </c>
      <c r="F8" s="6" t="n">
        <v>4</v>
      </c>
      <c r="G8" s="6" t="n">
        <v>2</v>
      </c>
      <c r="H8" s="6" t="inlineStr">
        <is>
          <t>Sand×1 + HV×1</t>
        </is>
      </c>
      <c r="I8" s="5" t="n">
        <v>239</v>
      </c>
      <c r="J8" s="5" t="n">
        <v>354</v>
      </c>
      <c r="K8" s="79" t="n">
        <v>45</v>
      </c>
      <c r="L8" s="79" t="n">
        <v>45</v>
      </c>
      <c r="M8" s="5" t="n">
        <v>825</v>
      </c>
      <c r="N8" s="5" t="n">
        <v>1125</v>
      </c>
      <c r="O8" s="79">
        <f>(J8+L8+N8)-(I8+K8+M8)</f>
        <v/>
      </c>
      <c r="P8" s="80">
        <f>IF(J8+L8+N8&gt;0,(J8+L8+N8-I8-K8-M8)/(J8+L8+N8),0)</f>
        <v/>
      </c>
    </row>
    <row r="9" ht="51" customHeight="1" s="42">
      <c r="A9" s="10" t="n"/>
      <c r="B9" s="10" t="n"/>
      <c r="C9" s="10" t="n"/>
      <c r="D9" s="10" t="n"/>
      <c r="E9" s="10" t="n"/>
      <c r="F9" s="10" t="n"/>
      <c r="G9" s="10" t="n"/>
      <c r="H9" s="10" t="n"/>
      <c r="I9" s="10" t="n"/>
      <c r="J9" s="10" t="n"/>
      <c r="M9" s="10" t="n"/>
      <c r="N9" s="10" t="n"/>
      <c r="O9" s="10" t="n"/>
      <c r="P9" s="10" t="n"/>
    </row>
    <row r="10">
      <c r="A10" s="6" t="n">
        <v>4</v>
      </c>
      <c r="B10" s="7" t="inlineStr">
        <is>
          <t>M1</t>
        </is>
      </c>
      <c r="C10" s="6" t="inlineStr">
        <is>
          <t>5N7D</t>
        </is>
      </c>
      <c r="D10" s="6" t="inlineStr">
        <is>
          <t>트럼프+샌드+히든 3色 시그니처</t>
        </is>
      </c>
      <c r="E10" s="6" t="n">
        <v>5</v>
      </c>
      <c r="F10" s="6" t="n">
        <v>7</v>
      </c>
      <c r="G10" s="6" t="n">
        <v>3</v>
      </c>
      <c r="H10" s="6" t="inlineStr">
        <is>
          <t>Trump×1+Sand×1+HV×1</t>
        </is>
      </c>
      <c r="I10" s="5" t="n">
        <v>449</v>
      </c>
      <c r="J10" s="5" t="n">
        <v>854</v>
      </c>
      <c r="K10" s="79" t="n">
        <v>45</v>
      </c>
      <c r="L10" s="79" t="n">
        <v>165</v>
      </c>
      <c r="M10" s="5" t="n">
        <v>1375</v>
      </c>
      <c r="N10" s="5" t="n">
        <v>1875</v>
      </c>
      <c r="O10" s="79">
        <f>(J10+L10+N10)-(I10+K10+M10)</f>
        <v/>
      </c>
      <c r="P10" s="80">
        <f>IF(J10+L10+N10&gt;0,(J10+L10+N10-I10-K10-M10)/(J10+L10+N10),0)</f>
        <v/>
      </c>
    </row>
  </sheetData>
  <mergeCells count="4">
    <mergeCell ref="K4:L4"/>
    <mergeCell ref="A1:P1"/>
    <mergeCell ref="M4:N4"/>
    <mergeCell ref="I4:J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76"/>
  <sheetViews>
    <sheetView workbookViewId="0">
      <pane ySplit="13" topLeftCell="A14" activePane="bottomLeft" state="frozen"/>
      <selection pane="bottomLeft" activeCell="A1" sqref="A1"/>
    </sheetView>
  </sheetViews>
  <sheetFormatPr baseColWidth="8" defaultRowHeight="15"/>
  <cols>
    <col width="28" customWidth="1" style="42" min="1" max="1"/>
    <col width="7" customWidth="1" style="42" min="2" max="2"/>
    <col width="11" customWidth="1" style="42" min="3" max="3"/>
    <col width="11" customWidth="1" style="42" min="4" max="4"/>
    <col width="8" customWidth="1" style="42" min="5" max="5"/>
    <col width="10" customWidth="1" style="42" min="6" max="6"/>
    <col width="10" customWidth="1" style="42" min="7" max="7"/>
    <col width="10" customWidth="1" style="42" min="8" max="8"/>
    <col width="10" customWidth="1" style="42" min="9" max="9"/>
    <col width="5" customWidth="1" style="42" min="10" max="10"/>
    <col width="12" customWidth="1" style="42" min="11" max="11"/>
    <col width="12" customWidth="1" style="42" min="12" max="12"/>
    <col hidden="1" width="10" customWidth="1" style="42" min="13" max="13"/>
    <col hidden="1" width="10" customWidth="1" style="42" min="14" max="14"/>
    <col hidden="1" width="10" customWidth="1" style="42" min="15" max="15"/>
    <col hidden="1" width="10" customWidth="1" style="42" min="16" max="16"/>
    <col hidden="1" width="13" customWidth="1" style="42" min="17" max="17"/>
  </cols>
  <sheetData>
    <row r="1">
      <c r="A1" s="103" t="inlineStr">
        <is>
          <t>🎯 PACKAGE SELECTOR — All-in-One Builder</t>
        </is>
      </c>
      <c r="B1" s="104" t="n"/>
      <c r="C1" s="104" t="n"/>
      <c r="D1" s="104" t="n"/>
      <c r="E1" s="104" t="n"/>
      <c r="F1" s="104" t="n"/>
      <c r="G1" s="104" t="n"/>
      <c r="H1" s="104" t="n"/>
      <c r="I1" s="104" t="n"/>
      <c r="J1" s="104" t="n"/>
      <c r="K1" s="104" t="n"/>
      <c r="L1" s="104" t="n"/>
    </row>
    <row r="2">
      <c r="A2" s="105" t="inlineStr">
        <is>
          <t>항목 선택 → ✓ 체크 → 자동계산 | P1~P4 기본, +버튼으로 P5~P8 확장</t>
        </is>
      </c>
    </row>
    <row r="4">
      <c r="A4" s="106" t="inlineStr">
        <is>
          <t>Package:</t>
        </is>
      </c>
      <c r="B4" s="129" t="inlineStr"/>
      <c r="D4" s="106" t="inlineStr">
        <is>
          <t>Golfers:</t>
        </is>
      </c>
      <c r="E4" s="138" t="n">
        <v>4</v>
      </c>
      <c r="F4" s="108" t="inlineStr">
        <is>
          <t>persons</t>
        </is>
      </c>
    </row>
    <row r="6">
      <c r="A6" s="103" t="inlineStr">
        <is>
          <t>✈️ FLIGHT DETAILS (현지시간 기준)</t>
        </is>
      </c>
      <c r="B6" s="104" t="n"/>
      <c r="C6" s="104" t="n"/>
      <c r="D6" s="104" t="n"/>
      <c r="E6" s="104" t="n"/>
      <c r="F6" s="104" t="n"/>
      <c r="G6" s="104" t="n"/>
      <c r="H6" s="104" t="n"/>
      <c r="I6" s="104" t="n"/>
      <c r="J6" s="104" t="n"/>
      <c r="K6" s="104" t="n"/>
      <c r="L6" s="104" t="n"/>
    </row>
    <row r="7">
      <c r="A7" s="140" t="inlineStr">
        <is>
          <t>Outbound:</t>
        </is>
      </c>
      <c r="B7" s="126" t="inlineStr">
        <is>
          <t>Date:</t>
        </is>
      </c>
      <c r="C7" s="82" t="inlineStr">
        <is>
          <t>2026-05-25</t>
        </is>
      </c>
      <c r="D7" s="126" t="inlineStr">
        <is>
          <t>Flight#:</t>
        </is>
      </c>
      <c r="E7" s="82" t="inlineStr">
        <is>
          <t>KE011</t>
        </is>
      </c>
      <c r="F7" s="126" t="inlineStr">
        <is>
          <t>Dep:</t>
        </is>
      </c>
      <c r="G7" s="122">
        <f>IF(E7="","",VLOOKUP(E7,'Master Data'!$A$60:$D$63,3,FALSE))</f>
        <v/>
      </c>
      <c r="H7" s="126" t="inlineStr">
        <is>
          <t>Arr:</t>
        </is>
      </c>
      <c r="I7" s="122">
        <f>IF(E7="","",VLOOKUP(E7,'Master Data'!$A$60:$D$63,4,FALSE))</f>
        <v/>
      </c>
      <c r="J7" s="126" t="inlineStr">
        <is>
          <t>Seat:</t>
        </is>
      </c>
      <c r="K7" s="82" t="inlineStr">
        <is>
          <t>Economy</t>
        </is>
      </c>
    </row>
    <row r="8">
      <c r="A8" s="140" t="inlineStr">
        <is>
          <t>Return:</t>
        </is>
      </c>
      <c r="B8" s="126" t="inlineStr">
        <is>
          <t>Date:</t>
        </is>
      </c>
      <c r="C8" s="82" t="inlineStr">
        <is>
          <t>2026-05-30</t>
        </is>
      </c>
      <c r="D8" s="126" t="inlineStr">
        <is>
          <t>Flight#:</t>
        </is>
      </c>
      <c r="E8" s="82" t="inlineStr">
        <is>
          <t>KE018</t>
        </is>
      </c>
      <c r="F8" s="126" t="inlineStr">
        <is>
          <t>Dep:</t>
        </is>
      </c>
      <c r="G8" s="122">
        <f>IF(E8="","",VLOOKUP(E8,'Master Data'!$A$74:$D$77,3,FALSE))</f>
        <v/>
      </c>
      <c r="H8" s="126" t="inlineStr">
        <is>
          <t>Arr:</t>
        </is>
      </c>
      <c r="I8" s="122">
        <f>IF(E8="","",VLOOKUP(E8,'Master Data'!$A$74:$D$77,4,FALSE))</f>
        <v/>
      </c>
      <c r="J8" s="126" t="inlineStr">
        <is>
          <t>Seat:</t>
        </is>
      </c>
      <c r="K8" s="82" t="inlineStr">
        <is>
          <t>Economy</t>
        </is>
      </c>
    </row>
    <row r="9">
      <c r="A9" s="106" t="inlineStr">
        <is>
          <t>Duration:</t>
        </is>
      </c>
      <c r="B9" s="122">
        <f>IF(AND(C7&lt;&gt;"",C8&lt;&gt;""),C8-C7,"")</f>
        <v/>
      </c>
      <c r="C9" s="108" t="inlineStr">
        <is>
          <t>nights</t>
        </is>
      </c>
      <c r="D9" s="122">
        <f>IF(B9&lt;&gt;"",B9+1,"")</f>
        <v/>
      </c>
      <c r="E9" s="108" t="inlineStr">
        <is>
          <t>days</t>
        </is>
      </c>
    </row>
    <row r="11">
      <c r="A11" s="134" t="inlineStr">
        <is>
          <t>⚠️ DUPLICATE CHECK</t>
        </is>
      </c>
      <c r="B11" s="136">
        <f>IF(SUM(Q:Q)&gt;0,"❌ "&amp;SUM(Q:Q)&amp;" duplicate(s) — check hidden Q column","✅ No duplicates")</f>
        <v/>
      </c>
    </row>
    <row r="12">
      <c r="A12" s="116" t="inlineStr">
        <is>
          <t>Cross-Check:</t>
        </is>
      </c>
      <c r="B12" s="133">
        <f>K68</f>
        <v/>
      </c>
      <c r="C12" s="81" t="inlineStr">
        <is>
          <t>vs</t>
        </is>
      </c>
      <c r="D12" s="133">
        <f>B76</f>
        <v/>
      </c>
      <c r="E12" s="117">
        <f>B12-D12</f>
        <v/>
      </c>
      <c r="F12" s="118">
        <f>IF(E12=0,"✅ MATCH","❌ MISMATCH")</f>
        <v/>
      </c>
    </row>
    <row r="13">
      <c r="A13" s="119" t="inlineStr">
        <is>
          <t>Item (Select ▼)</t>
        </is>
      </c>
      <c r="B13" s="98" t="inlineStr">
        <is>
          <t>Qty</t>
        </is>
      </c>
      <c r="C13" s="98" t="inlineStr">
        <is>
          <t>Cost/P</t>
        </is>
      </c>
      <c r="D13" s="98" t="inlineStr">
        <is>
          <t>Sell/P</t>
        </is>
      </c>
      <c r="E13" s="98" t="inlineStr">
        <is>
          <t>Margin%</t>
        </is>
      </c>
      <c r="F13" s="98" t="inlineStr">
        <is>
          <t>P1</t>
        </is>
      </c>
      <c r="G13" s="98" t="inlineStr">
        <is>
          <t>P2</t>
        </is>
      </c>
      <c r="H13" s="98" t="inlineStr">
        <is>
          <t>P3</t>
        </is>
      </c>
      <c r="I13" s="98" t="inlineStr">
        <is>
          <t>P4</t>
        </is>
      </c>
      <c r="J13" s="141" t="inlineStr">
        <is>
          <t>+</t>
        </is>
      </c>
      <c r="K13" s="98" t="inlineStr">
        <is>
          <t>Tot Cost</t>
        </is>
      </c>
      <c r="L13" s="98" t="inlineStr">
        <is>
          <t>Tot Sell</t>
        </is>
      </c>
      <c r="M13" s="98" t="inlineStr">
        <is>
          <t>P5</t>
        </is>
      </c>
      <c r="N13" s="98" t="inlineStr">
        <is>
          <t>P6</t>
        </is>
      </c>
      <c r="O13" s="98" t="inlineStr">
        <is>
          <t>P7</t>
        </is>
      </c>
      <c r="P13" s="98" t="inlineStr">
        <is>
          <t>P8</t>
        </is>
      </c>
      <c r="Q13" s="98" t="inlineStr">
        <is>
          <t>Dup</t>
        </is>
      </c>
    </row>
    <row r="14">
      <c r="A14" s="128" t="inlineStr">
        <is>
          <t>⛳ GOLF</t>
        </is>
      </c>
      <c r="B14" s="77" t="n"/>
      <c r="C14" s="77" t="n"/>
      <c r="D14" s="77" t="n"/>
      <c r="E14" s="77" t="n"/>
      <c r="F14" s="77" t="n"/>
      <c r="G14" s="77" t="n"/>
      <c r="H14" s="77" t="n"/>
      <c r="I14" s="77" t="n"/>
      <c r="J14" s="77" t="n"/>
      <c r="K14" s="77" t="n"/>
      <c r="L14" s="77" t="n"/>
    </row>
    <row r="15">
      <c r="A15" s="109" t="inlineStr">
        <is>
          <t>Hidden Valley GC</t>
        </is>
      </c>
      <c r="B15" s="83" t="n">
        <v>1</v>
      </c>
      <c r="C15" s="84">
        <f>IF(A15="","",VLOOKUP(A15,'Master Data'!$A$7:$C$14,2,FALSE))</f>
        <v/>
      </c>
      <c r="D15" s="84">
        <f>IF(A15="","",VLOOKUP(A15,'Master Data'!$A$7:$C$14,3,FALSE))</f>
        <v/>
      </c>
      <c r="E15" s="137">
        <f>IF(D15&gt;0,(D15-C15)/D15,0)</f>
        <v/>
      </c>
      <c r="F15" s="81" t="inlineStr"/>
      <c r="G15" s="81" t="inlineStr"/>
      <c r="H15" s="81" t="inlineStr"/>
      <c r="I15" s="81" t="inlineStr"/>
      <c r="J15" s="142" t="inlineStr">
        <is>
          <t>+</t>
        </is>
      </c>
      <c r="K15" s="84">
        <f>IF(A15="","",(COUNTIF(F15,"✓")+COUNTIF(G15,"✓")+COUNTIF(H15,"✓")+COUNTIF(I15,"✓")+COUNTIF(M15,"✓")+COUNTIF(N15,"✓")+COUNTIF(O15,"✓")+COUNTIF(P15,"✓"))*B15*C15)</f>
        <v/>
      </c>
      <c r="L15" s="84">
        <f>IF(A15="","",(COUNTIF(F15,"✓")+COUNTIF(G15,"✓")+COUNTIF(H15,"✓")+COUNTIF(I15,"✓")+COUNTIF(M15,"✓")+COUNTIF(N15,"✓")+COUNTIF(O15,"✓")+COUNTIF(P15,"✓"))*B15*D15)</f>
        <v/>
      </c>
      <c r="M15" s="81" t="inlineStr"/>
      <c r="N15" s="81" t="inlineStr"/>
      <c r="O15" s="81" t="inlineStr"/>
      <c r="P15" s="81" t="inlineStr"/>
      <c r="Q15" s="81">
        <f>0</f>
        <v/>
      </c>
    </row>
    <row r="16">
      <c r="A16" s="108" t="inlineStr">
        <is>
          <t>Sandpiper GC</t>
        </is>
      </c>
      <c r="B16" s="83" t="n">
        <v>2</v>
      </c>
      <c r="C16" s="84">
        <f>IF(A16="","",VLOOKUP(A16,'Master Data'!$A$7:$C$14,2,FALSE))</f>
        <v/>
      </c>
      <c r="D16" s="84">
        <f>IF(A16="","",VLOOKUP(A16,'Master Data'!$A$7:$C$14,3,FALSE))</f>
        <v/>
      </c>
      <c r="E16" s="137">
        <f>IF(D16&gt;0,(D16-C16)/D16,0)</f>
        <v/>
      </c>
      <c r="F16" s="81" t="inlineStr"/>
      <c r="G16" s="81" t="inlineStr"/>
      <c r="H16" s="81" t="inlineStr"/>
      <c r="I16" s="81" t="inlineStr"/>
      <c r="J16" s="142" t="inlineStr">
        <is>
          <t>+</t>
        </is>
      </c>
      <c r="K16" s="84">
        <f>IF(A16="","",(COUNTIF(F16,"✓")+COUNTIF(G16,"✓")+COUNTIF(H16,"✓")+COUNTIF(I16,"✓")+COUNTIF(M16,"✓")+COUNTIF(N16,"✓")+COUNTIF(O16,"✓")+COUNTIF(P16,"✓"))*B16*C16)</f>
        <v/>
      </c>
      <c r="L16" s="84">
        <f>IF(A16="","",(COUNTIF(F16,"✓")+COUNTIF(G16,"✓")+COUNTIF(H16,"✓")+COUNTIF(I16,"✓")+COUNTIF(M16,"✓")+COUNTIF(N16,"✓")+COUNTIF(O16,"✓")+COUNTIF(P16,"✓"))*B16*D16)</f>
        <v/>
      </c>
      <c r="M16" s="81" t="inlineStr"/>
      <c r="N16" s="81" t="inlineStr"/>
      <c r="O16" s="81" t="inlineStr"/>
      <c r="P16" s="81" t="inlineStr"/>
      <c r="Q16" s="81">
        <f>IF(A16="",0,COUNTIF(A$15:A15,A16))</f>
        <v/>
      </c>
    </row>
    <row r="17">
      <c r="A17" s="109" t="inlineStr">
        <is>
          <t>Trump National LA</t>
        </is>
      </c>
      <c r="B17" s="83" t="n">
        <v>2</v>
      </c>
      <c r="C17" s="84">
        <f>IF(A17="","",VLOOKUP(A17,'Master Data'!$A$7:$C$14,2,FALSE))</f>
        <v/>
      </c>
      <c r="D17" s="84">
        <f>IF(A17="","",VLOOKUP(A17,'Master Data'!$A$7:$C$14,3,FALSE))</f>
        <v/>
      </c>
      <c r="E17" s="137">
        <f>IF(D17&gt;0,(D17-C17)/D17,0)</f>
        <v/>
      </c>
      <c r="F17" s="81" t="inlineStr"/>
      <c r="G17" s="81" t="inlineStr"/>
      <c r="H17" s="81" t="inlineStr"/>
      <c r="I17" s="81" t="inlineStr"/>
      <c r="J17" s="142" t="inlineStr">
        <is>
          <t>+</t>
        </is>
      </c>
      <c r="K17" s="84">
        <f>IF(A17="","",(COUNTIF(F17,"✓")+COUNTIF(G17,"✓")+COUNTIF(H17,"✓")+COUNTIF(I17,"✓")+COUNTIF(M17,"✓")+COUNTIF(N17,"✓")+COUNTIF(O17,"✓")+COUNTIF(P17,"✓"))*B17*C17)</f>
        <v/>
      </c>
      <c r="L17" s="84">
        <f>IF(A17="","",(COUNTIF(F17,"✓")+COUNTIF(G17,"✓")+COUNTIF(H17,"✓")+COUNTIF(I17,"✓")+COUNTIF(M17,"✓")+COUNTIF(N17,"✓")+COUNTIF(O17,"✓")+COUNTIF(P17,"✓"))*B17*D17)</f>
        <v/>
      </c>
      <c r="M17" s="81" t="inlineStr"/>
      <c r="N17" s="81" t="inlineStr"/>
      <c r="O17" s="81" t="inlineStr"/>
      <c r="P17" s="81" t="inlineStr"/>
      <c r="Q17" s="81">
        <f>IF(A17="",0,COUNTIF(A$15:A16,A17))</f>
        <v/>
      </c>
    </row>
    <row r="18">
      <c r="A18" s="129" t="inlineStr"/>
      <c r="B18" s="83" t="inlineStr"/>
      <c r="C18" s="84">
        <f>IF(A18="","",VLOOKUP(A18,'Master Data'!$A$7:$C$14,2,FALSE))</f>
        <v/>
      </c>
      <c r="D18" s="84">
        <f>IF(A18="","",VLOOKUP(A18,'Master Data'!$A$7:$C$14,3,FALSE))</f>
        <v/>
      </c>
      <c r="E18" s="137">
        <f>IF(D18&gt;0,(D18-C18)/D18,0)</f>
        <v/>
      </c>
      <c r="F18" s="81" t="inlineStr"/>
      <c r="G18" s="81" t="inlineStr"/>
      <c r="H18" s="81" t="inlineStr"/>
      <c r="I18" s="81" t="inlineStr"/>
      <c r="J18" s="142" t="inlineStr">
        <is>
          <t>+</t>
        </is>
      </c>
      <c r="K18" s="84">
        <f>IF(A18="","",(COUNTIF(F18,"✓")+COUNTIF(G18,"✓")+COUNTIF(H18,"✓")+COUNTIF(I18,"✓")+COUNTIF(M18,"✓")+COUNTIF(N18,"✓")+COUNTIF(O18,"✓")+COUNTIF(P18,"✓"))*B18*C18)</f>
        <v/>
      </c>
      <c r="L18" s="84">
        <f>IF(A18="","",(COUNTIF(F18,"✓")+COUNTIF(G18,"✓")+COUNTIF(H18,"✓")+COUNTIF(I18,"✓")+COUNTIF(M18,"✓")+COUNTIF(N18,"✓")+COUNTIF(O18,"✓")+COUNTIF(P18,"✓"))*B18*D18)</f>
        <v/>
      </c>
      <c r="M18" s="81" t="inlineStr"/>
      <c r="N18" s="81" t="inlineStr"/>
      <c r="O18" s="81" t="inlineStr"/>
      <c r="P18" s="81" t="inlineStr"/>
      <c r="Q18" s="81">
        <f>IF(A18="",0,COUNTIF(A$15:A17,A18))</f>
        <v/>
      </c>
    </row>
    <row r="19">
      <c r="A19" s="129" t="inlineStr"/>
      <c r="B19" s="83" t="inlineStr"/>
      <c r="C19" s="84">
        <f>IF(A19="","",VLOOKUP(A19,'Master Data'!$A$7:$C$14,2,FALSE))</f>
        <v/>
      </c>
      <c r="D19" s="84">
        <f>IF(A19="","",VLOOKUP(A19,'Master Data'!$A$7:$C$14,3,FALSE))</f>
        <v/>
      </c>
      <c r="E19" s="137">
        <f>IF(D19&gt;0,(D19-C19)/D19,0)</f>
        <v/>
      </c>
      <c r="F19" s="81" t="inlineStr"/>
      <c r="G19" s="81" t="inlineStr"/>
      <c r="H19" s="81" t="inlineStr"/>
      <c r="I19" s="81" t="inlineStr"/>
      <c r="J19" s="142" t="inlineStr">
        <is>
          <t>+</t>
        </is>
      </c>
      <c r="K19" s="84">
        <f>IF(A19="","",(COUNTIF(F19,"✓")+COUNTIF(G19,"✓")+COUNTIF(H19,"✓")+COUNTIF(I19,"✓")+COUNTIF(M19,"✓")+COUNTIF(N19,"✓")+COUNTIF(O19,"✓")+COUNTIF(P19,"✓"))*B19*C19)</f>
        <v/>
      </c>
      <c r="L19" s="84">
        <f>IF(A19="","",(COUNTIF(F19,"✓")+COUNTIF(G19,"✓")+COUNTIF(H19,"✓")+COUNTIF(I19,"✓")+COUNTIF(M19,"✓")+COUNTIF(N19,"✓")+COUNTIF(O19,"✓")+COUNTIF(P19,"✓"))*B19*D19)</f>
        <v/>
      </c>
      <c r="M19" s="81" t="inlineStr"/>
      <c r="N19" s="81" t="inlineStr"/>
      <c r="O19" s="81" t="inlineStr"/>
      <c r="P19" s="81" t="inlineStr"/>
      <c r="Q19" s="81">
        <f>IF(A19="",0,COUNTIF(A$15:A18,A19))</f>
        <v/>
      </c>
    </row>
    <row r="20">
      <c r="A20" s="123" t="inlineStr">
        <is>
          <t>SUBTOTAL</t>
        </is>
      </c>
      <c r="B20" s="114" t="inlineStr"/>
      <c r="C20" s="114" t="inlineStr"/>
      <c r="D20" s="114" t="inlineStr"/>
      <c r="E20" s="114" t="inlineStr"/>
      <c r="F20" s="130">
        <f>SUMPRODUCT((F15:F19="✓")*1,B15:B19,C15:C19)</f>
        <v/>
      </c>
      <c r="G20" s="130">
        <f>SUMPRODUCT((G15:G19="✓")*1,B15:B19,C15:C19)</f>
        <v/>
      </c>
      <c r="H20" s="130">
        <f>SUMPRODUCT((H15:H19="✓")*1,B15:B19,C15:C19)</f>
        <v/>
      </c>
      <c r="I20" s="130">
        <f>SUMPRODUCT((I15:I19="✓")*1,B15:B19,C15:C19)</f>
        <v/>
      </c>
      <c r="J20" s="114" t="inlineStr"/>
      <c r="K20" s="88">
        <f>SUM(K15:K19)</f>
        <v/>
      </c>
      <c r="L20" s="88">
        <f>SUM(L15:L19)</f>
        <v/>
      </c>
      <c r="M20" s="130">
        <f>SUMPRODUCT((M15:M19="✓")*1,B15:B19,C15:C19)</f>
        <v/>
      </c>
      <c r="N20" s="130">
        <f>SUMPRODUCT((N15:N19="✓")*1,B15:B19,C15:C19)</f>
        <v/>
      </c>
      <c r="O20" s="130">
        <f>SUMPRODUCT((O15:O19="✓")*1,B15:B19,C15:C19)</f>
        <v/>
      </c>
      <c r="P20" s="130">
        <f>SUMPRODUCT((P15:P19="✓")*1,B15:B19,C15:C19)</f>
        <v/>
      </c>
    </row>
    <row r="22">
      <c r="A22" s="128" t="inlineStr">
        <is>
          <t>🏨 HOTEL</t>
        </is>
      </c>
      <c r="B22" s="77" t="n"/>
      <c r="C22" s="77" t="n"/>
      <c r="D22" s="77" t="n"/>
      <c r="E22" s="77" t="n"/>
      <c r="F22" s="77" t="n"/>
      <c r="G22" s="77" t="n"/>
      <c r="H22" s="77" t="n"/>
      <c r="I22" s="77" t="n"/>
      <c r="J22" s="77" t="n"/>
      <c r="K22" s="77" t="n"/>
      <c r="L22" s="77" t="n"/>
    </row>
    <row r="23">
      <c r="A23" s="109" t="inlineStr">
        <is>
          <t>Beverly Wilshire (5★) / Same Tier</t>
        </is>
      </c>
      <c r="B23" s="83" t="n">
        <v>3</v>
      </c>
      <c r="C23" s="84">
        <f>IF(A23="","",VLOOKUP(A23,'Master Data'!$A$19:$C$24,2,FALSE))</f>
        <v/>
      </c>
      <c r="D23" s="84">
        <f>IF(A23="","",VLOOKUP(A23,'Master Data'!$A$19:$C$24,3,FALSE))</f>
        <v/>
      </c>
      <c r="E23" s="137">
        <f>IF(D23&gt;0,(D23-C23)/D23,0)</f>
        <v/>
      </c>
      <c r="F23" s="81" t="inlineStr"/>
      <c r="G23" s="81" t="inlineStr"/>
      <c r="H23" s="81" t="inlineStr"/>
      <c r="I23" s="81" t="inlineStr"/>
      <c r="J23" s="142" t="inlineStr">
        <is>
          <t>+</t>
        </is>
      </c>
      <c r="K23" s="84">
        <f>IF(A23="","",(COUNTIF(F23,"✓")+COUNTIF(G23,"✓")+COUNTIF(H23,"✓")+COUNTIF(I23,"✓")+COUNTIF(M23,"✓")+COUNTIF(N23,"✓")+COUNTIF(O23,"✓")+COUNTIF(P23,"✓"))*B23*C23)</f>
        <v/>
      </c>
      <c r="L23" s="84">
        <f>IF(A23="","",(COUNTIF(F23,"✓")+COUNTIF(G23,"✓")+COUNTIF(H23,"✓")+COUNTIF(I23,"✓")+COUNTIF(M23,"✓")+COUNTIF(N23,"✓")+COUNTIF(O23,"✓")+COUNTIF(P23,"✓"))*B23*D23)</f>
        <v/>
      </c>
      <c r="M23" s="81" t="inlineStr"/>
      <c r="N23" s="81" t="inlineStr"/>
      <c r="O23" s="81" t="inlineStr"/>
      <c r="P23" s="81" t="inlineStr"/>
      <c r="Q23" s="81">
        <f>0</f>
        <v/>
      </c>
    </row>
    <row r="24">
      <c r="A24" s="129" t="inlineStr"/>
      <c r="B24" s="83" t="inlineStr"/>
      <c r="C24" s="84">
        <f>IF(A24="","",VLOOKUP(A24,'Master Data'!$A$19:$C$24,2,FALSE))</f>
        <v/>
      </c>
      <c r="D24" s="84">
        <f>IF(A24="","",VLOOKUP(A24,'Master Data'!$A$19:$C$24,3,FALSE))</f>
        <v/>
      </c>
      <c r="E24" s="137">
        <f>IF(D24&gt;0,(D24-C24)/D24,0)</f>
        <v/>
      </c>
      <c r="F24" s="81" t="inlineStr"/>
      <c r="G24" s="81" t="inlineStr"/>
      <c r="H24" s="81" t="inlineStr"/>
      <c r="I24" s="81" t="inlineStr"/>
      <c r="J24" s="142" t="inlineStr">
        <is>
          <t>+</t>
        </is>
      </c>
      <c r="K24" s="84">
        <f>IF(A24="","",(COUNTIF(F24,"✓")+COUNTIF(G24,"✓")+COUNTIF(H24,"✓")+COUNTIF(I24,"✓")+COUNTIF(M24,"✓")+COUNTIF(N24,"✓")+COUNTIF(O24,"✓")+COUNTIF(P24,"✓"))*B24*C24)</f>
        <v/>
      </c>
      <c r="L24" s="84">
        <f>IF(A24="","",(COUNTIF(F24,"✓")+COUNTIF(G24,"✓")+COUNTIF(H24,"✓")+COUNTIF(I24,"✓")+COUNTIF(M24,"✓")+COUNTIF(N24,"✓")+COUNTIF(O24,"✓")+COUNTIF(P24,"✓"))*B24*D24)</f>
        <v/>
      </c>
      <c r="M24" s="81" t="inlineStr"/>
      <c r="N24" s="81" t="inlineStr"/>
      <c r="O24" s="81" t="inlineStr"/>
      <c r="P24" s="81" t="inlineStr"/>
      <c r="Q24" s="81">
        <f>IF(A24="",0,COUNTIF(A$23:A23,A24))</f>
        <v/>
      </c>
    </row>
    <row r="25">
      <c r="A25" s="129" t="inlineStr"/>
      <c r="B25" s="83" t="inlineStr"/>
      <c r="C25" s="84">
        <f>IF(A25="","",VLOOKUP(A25,'Master Data'!$A$19:$C$24,2,FALSE))</f>
        <v/>
      </c>
      <c r="D25" s="84">
        <f>IF(A25="","",VLOOKUP(A25,'Master Data'!$A$19:$C$24,3,FALSE))</f>
        <v/>
      </c>
      <c r="E25" s="137">
        <f>IF(D25&gt;0,(D25-C25)/D25,0)</f>
        <v/>
      </c>
      <c r="F25" s="81" t="inlineStr"/>
      <c r="G25" s="81" t="inlineStr"/>
      <c r="H25" s="81" t="inlineStr"/>
      <c r="I25" s="81" t="inlineStr"/>
      <c r="J25" s="142" t="inlineStr">
        <is>
          <t>+</t>
        </is>
      </c>
      <c r="K25" s="84">
        <f>IF(A25="","",(COUNTIF(F25,"✓")+COUNTIF(G25,"✓")+COUNTIF(H25,"✓")+COUNTIF(I25,"✓")+COUNTIF(M25,"✓")+COUNTIF(N25,"✓")+COUNTIF(O25,"✓")+COUNTIF(P25,"✓"))*B25*C25)</f>
        <v/>
      </c>
      <c r="L25" s="84">
        <f>IF(A25="","",(COUNTIF(F25,"✓")+COUNTIF(G25,"✓")+COUNTIF(H25,"✓")+COUNTIF(I25,"✓")+COUNTIF(M25,"✓")+COUNTIF(N25,"✓")+COUNTIF(O25,"✓")+COUNTIF(P25,"✓"))*B25*D25)</f>
        <v/>
      </c>
      <c r="M25" s="81" t="inlineStr"/>
      <c r="N25" s="81" t="inlineStr"/>
      <c r="O25" s="81" t="inlineStr"/>
      <c r="P25" s="81" t="inlineStr"/>
      <c r="Q25" s="81">
        <f>IF(A25="",0,COUNTIF(A$23:A24,A25))</f>
        <v/>
      </c>
    </row>
    <row r="26">
      <c r="A26" s="123" t="inlineStr">
        <is>
          <t>SUBTOTAL</t>
        </is>
      </c>
      <c r="B26" s="114" t="inlineStr"/>
      <c r="C26" s="114" t="inlineStr"/>
      <c r="D26" s="114" t="inlineStr"/>
      <c r="E26" s="114" t="inlineStr"/>
      <c r="F26" s="130">
        <f>SUMPRODUCT((F23:F25="✓")*1,B23:B25,C23:C25)</f>
        <v/>
      </c>
      <c r="G26" s="130">
        <f>SUMPRODUCT((G23:G25="✓")*1,B23:B25,C23:C25)</f>
        <v/>
      </c>
      <c r="H26" s="130">
        <f>SUMPRODUCT((H23:H25="✓")*1,B23:B25,C23:C25)</f>
        <v/>
      </c>
      <c r="I26" s="130">
        <f>SUMPRODUCT((I23:I25="✓")*1,B23:B25,C23:C25)</f>
        <v/>
      </c>
      <c r="J26" s="114" t="inlineStr"/>
      <c r="K26" s="88">
        <f>SUM(K23:K25)</f>
        <v/>
      </c>
      <c r="L26" s="88">
        <f>SUM(L23:L25)</f>
        <v/>
      </c>
      <c r="M26" s="130">
        <f>SUMPRODUCT((M23:M25="✓")*1,B23:B25,C23:C25)</f>
        <v/>
      </c>
      <c r="N26" s="130">
        <f>SUMPRODUCT((N23:N25="✓")*1,B23:B25,C23:C25)</f>
        <v/>
      </c>
      <c r="O26" s="130">
        <f>SUMPRODUCT((O23:O25="✓")*1,B23:B25,C23:C25)</f>
        <v/>
      </c>
      <c r="P26" s="130">
        <f>SUMPRODUCT((P23:P25="✓")*1,B23:B25,C23:C25)</f>
        <v/>
      </c>
    </row>
    <row r="28">
      <c r="A28" s="128" t="inlineStr">
        <is>
          <t>🚐 TRANSPORT</t>
        </is>
      </c>
      <c r="B28" s="77" t="n"/>
      <c r="C28" s="77" t="n"/>
      <c r="D28" s="77" t="n"/>
      <c r="E28" s="77" t="n"/>
      <c r="F28" s="77" t="n"/>
      <c r="G28" s="77" t="n"/>
      <c r="H28" s="77" t="n"/>
      <c r="I28" s="77" t="n"/>
      <c r="J28" s="77" t="n"/>
      <c r="K28" s="77" t="n"/>
      <c r="L28" s="77" t="n"/>
    </row>
    <row r="29">
      <c r="A29" s="109" t="inlineStr">
        <is>
          <t>Driver/Guide + Van (일당)</t>
        </is>
      </c>
      <c r="B29" s="83" t="n">
        <v>3</v>
      </c>
      <c r="C29" s="84">
        <f>IF(A29="","",VLOOKUP(A29,'Master Data'!$A$28:$C$34,2,FALSE))</f>
        <v/>
      </c>
      <c r="D29" s="84">
        <f>IF(A29="","",VLOOKUP(A29,'Master Data'!$A$28:$C$34,3,FALSE))</f>
        <v/>
      </c>
      <c r="E29" s="137">
        <f>IF(D29&gt;0,(D29-C29)/D29,0)</f>
        <v/>
      </c>
      <c r="F29" s="81" t="inlineStr"/>
      <c r="G29" s="81" t="inlineStr"/>
      <c r="H29" s="81" t="inlineStr"/>
      <c r="I29" s="81" t="inlineStr"/>
      <c r="J29" s="142" t="inlineStr">
        <is>
          <t>+</t>
        </is>
      </c>
      <c r="K29" s="84">
        <f>IF(A29="","",(COUNTIF(F29,"✓")+COUNTIF(G29,"✓")+COUNTIF(H29,"✓")+COUNTIF(I29,"✓")+COUNTIF(M29,"✓")+COUNTIF(N29,"✓")+COUNTIF(O29,"✓")+COUNTIF(P29,"✓"))*B29*C29)</f>
        <v/>
      </c>
      <c r="L29" s="84">
        <f>IF(A29="","",(COUNTIF(F29,"✓")+COUNTIF(G29,"✓")+COUNTIF(H29,"✓")+COUNTIF(I29,"✓")+COUNTIF(M29,"✓")+COUNTIF(N29,"✓")+COUNTIF(O29,"✓")+COUNTIF(P29,"✓"))*B29*D29)</f>
        <v/>
      </c>
      <c r="M29" s="81" t="inlineStr"/>
      <c r="N29" s="81" t="inlineStr"/>
      <c r="O29" s="81" t="inlineStr"/>
      <c r="P29" s="81" t="inlineStr"/>
      <c r="Q29" s="81">
        <f>0</f>
        <v/>
      </c>
    </row>
    <row r="30">
      <c r="A30" s="129" t="inlineStr"/>
      <c r="B30" s="83" t="inlineStr"/>
      <c r="C30" s="84">
        <f>IF(A30="","",VLOOKUP(A30,'Master Data'!$A$28:$C$34,2,FALSE))</f>
        <v/>
      </c>
      <c r="D30" s="84">
        <f>IF(A30="","",VLOOKUP(A30,'Master Data'!$A$28:$C$34,3,FALSE))</f>
        <v/>
      </c>
      <c r="E30" s="137">
        <f>IF(D30&gt;0,(D30-C30)/D30,0)</f>
        <v/>
      </c>
      <c r="F30" s="81" t="inlineStr"/>
      <c r="G30" s="81" t="inlineStr"/>
      <c r="H30" s="81" t="inlineStr"/>
      <c r="I30" s="81" t="inlineStr"/>
      <c r="J30" s="142" t="inlineStr">
        <is>
          <t>+</t>
        </is>
      </c>
      <c r="K30" s="84">
        <f>IF(A30="","",(COUNTIF(F30,"✓")+COUNTIF(G30,"✓")+COUNTIF(H30,"✓")+COUNTIF(I30,"✓")+COUNTIF(M30,"✓")+COUNTIF(N30,"✓")+COUNTIF(O30,"✓")+COUNTIF(P30,"✓"))*B30*C30)</f>
        <v/>
      </c>
      <c r="L30" s="84">
        <f>IF(A30="","",(COUNTIF(F30,"✓")+COUNTIF(G30,"✓")+COUNTIF(H30,"✓")+COUNTIF(I30,"✓")+COUNTIF(M30,"✓")+COUNTIF(N30,"✓")+COUNTIF(O30,"✓")+COUNTIF(P30,"✓"))*B30*D30)</f>
        <v/>
      </c>
      <c r="M30" s="81" t="inlineStr"/>
      <c r="N30" s="81" t="inlineStr"/>
      <c r="O30" s="81" t="inlineStr"/>
      <c r="P30" s="81" t="inlineStr"/>
      <c r="Q30" s="81">
        <f>IF(A30="",0,COUNTIF(A$29:A29,A30))</f>
        <v/>
      </c>
    </row>
    <row r="31">
      <c r="A31" s="129" t="inlineStr"/>
      <c r="B31" s="83" t="inlineStr"/>
      <c r="C31" s="84">
        <f>IF(A31="","",VLOOKUP(A31,'Master Data'!$A$28:$C$34,2,FALSE))</f>
        <v/>
      </c>
      <c r="D31" s="84">
        <f>IF(A31="","",VLOOKUP(A31,'Master Data'!$A$28:$C$34,3,FALSE))</f>
        <v/>
      </c>
      <c r="E31" s="137">
        <f>IF(D31&gt;0,(D31-C31)/D31,0)</f>
        <v/>
      </c>
      <c r="F31" s="81" t="inlineStr"/>
      <c r="G31" s="81" t="inlineStr"/>
      <c r="H31" s="81" t="inlineStr"/>
      <c r="I31" s="81" t="inlineStr"/>
      <c r="J31" s="142" t="inlineStr">
        <is>
          <t>+</t>
        </is>
      </c>
      <c r="K31" s="84">
        <f>IF(A31="","",(COUNTIF(F31,"✓")+COUNTIF(G31,"✓")+COUNTIF(H31,"✓")+COUNTIF(I31,"✓")+COUNTIF(M31,"✓")+COUNTIF(N31,"✓")+COUNTIF(O31,"✓")+COUNTIF(P31,"✓"))*B31*C31)</f>
        <v/>
      </c>
      <c r="L31" s="84">
        <f>IF(A31="","",(COUNTIF(F31,"✓")+COUNTIF(G31,"✓")+COUNTIF(H31,"✓")+COUNTIF(I31,"✓")+COUNTIF(M31,"✓")+COUNTIF(N31,"✓")+COUNTIF(O31,"✓")+COUNTIF(P31,"✓"))*B31*D31)</f>
        <v/>
      </c>
      <c r="M31" s="81" t="inlineStr"/>
      <c r="N31" s="81" t="inlineStr"/>
      <c r="O31" s="81" t="inlineStr"/>
      <c r="P31" s="81" t="inlineStr"/>
      <c r="Q31" s="81">
        <f>IF(A31="",0,COUNTIF(A$29:A30,A31))</f>
        <v/>
      </c>
    </row>
    <row r="32">
      <c r="A32" s="123" t="inlineStr">
        <is>
          <t>SUBTOTAL</t>
        </is>
      </c>
      <c r="B32" s="114" t="inlineStr"/>
      <c r="C32" s="114" t="inlineStr"/>
      <c r="D32" s="114" t="inlineStr"/>
      <c r="E32" s="114" t="inlineStr"/>
      <c r="F32" s="130">
        <f>SUMPRODUCT((F29:F31="✓")*1,B29:B31,C29:C31)</f>
        <v/>
      </c>
      <c r="G32" s="130">
        <f>SUMPRODUCT((G29:G31="✓")*1,B29:B31,C29:C31)</f>
        <v/>
      </c>
      <c r="H32" s="130">
        <f>SUMPRODUCT((H29:H31="✓")*1,B29:B31,C29:C31)</f>
        <v/>
      </c>
      <c r="I32" s="130">
        <f>SUMPRODUCT((I29:I31="✓")*1,B29:B31,C29:C31)</f>
        <v/>
      </c>
      <c r="J32" s="114" t="inlineStr"/>
      <c r="K32" s="88">
        <f>SUM(K29:K31)</f>
        <v/>
      </c>
      <c r="L32" s="88">
        <f>SUM(L29:L31)</f>
        <v/>
      </c>
      <c r="M32" s="130">
        <f>SUMPRODUCT((M29:M31="✓")*1,B29:B31,C29:C31)</f>
        <v/>
      </c>
      <c r="N32" s="130">
        <f>SUMPRODUCT((N29:N31="✓")*1,B29:B31,C29:C31)</f>
        <v/>
      </c>
      <c r="O32" s="130">
        <f>SUMPRODUCT((O29:O31="✓")*1,B29:B31,C29:C31)</f>
        <v/>
      </c>
      <c r="P32" s="130">
        <f>SUMPRODUCT((P29:P31="✓")*1,B29:B31,C29:C31)</f>
        <v/>
      </c>
    </row>
    <row r="34">
      <c r="A34" s="128" t="inlineStr">
        <is>
          <t>🍽️ MEALS</t>
        </is>
      </c>
      <c r="B34" s="77" t="n"/>
      <c r="C34" s="77" t="n"/>
      <c r="D34" s="77" t="n"/>
      <c r="E34" s="77" t="n"/>
      <c r="F34" s="77" t="n"/>
      <c r="G34" s="77" t="n"/>
      <c r="H34" s="77" t="n"/>
      <c r="I34" s="77" t="n"/>
      <c r="J34" s="77" t="n"/>
      <c r="K34" s="77" t="n"/>
      <c r="L34" s="77" t="n"/>
    </row>
    <row r="35">
      <c r="A35" s="109" t="inlineStr">
        <is>
          <t>Breakfast (Hotel)</t>
        </is>
      </c>
      <c r="B35" s="83" t="n">
        <v>3</v>
      </c>
      <c r="C35" s="84">
        <f>IF(A35="","",VLOOKUP(A35,'Master Data'!$A$38:$C$46,2,FALSE))</f>
        <v/>
      </c>
      <c r="D35" s="84">
        <f>IF(A35="","",VLOOKUP(A35,'Master Data'!$A$38:$C$46,3,FALSE))</f>
        <v/>
      </c>
      <c r="E35" s="137">
        <f>IF(D35&gt;0,(D35-C35)/D35,0)</f>
        <v/>
      </c>
      <c r="F35" s="81" t="inlineStr"/>
      <c r="G35" s="81" t="inlineStr"/>
      <c r="H35" s="81" t="inlineStr"/>
      <c r="I35" s="81" t="inlineStr"/>
      <c r="J35" s="142" t="inlineStr">
        <is>
          <t>+</t>
        </is>
      </c>
      <c r="K35" s="84">
        <f>IF(A35="","",(COUNTIF(F35,"✓")+COUNTIF(G35,"✓")+COUNTIF(H35,"✓")+COUNTIF(I35,"✓")+COUNTIF(M35,"✓")+COUNTIF(N35,"✓")+COUNTIF(O35,"✓")+COUNTIF(P35,"✓"))*B35*C35)</f>
        <v/>
      </c>
      <c r="L35" s="84">
        <f>IF(A35="","",(COUNTIF(F35,"✓")+COUNTIF(G35,"✓")+COUNTIF(H35,"✓")+COUNTIF(I35,"✓")+COUNTIF(M35,"✓")+COUNTIF(N35,"✓")+COUNTIF(O35,"✓")+COUNTIF(P35,"✓"))*B35*D35)</f>
        <v/>
      </c>
      <c r="M35" s="81" t="inlineStr"/>
      <c r="N35" s="81" t="inlineStr"/>
      <c r="O35" s="81" t="inlineStr"/>
      <c r="P35" s="81" t="inlineStr"/>
      <c r="Q35" s="81">
        <f>0</f>
        <v/>
      </c>
    </row>
    <row r="36">
      <c r="A36" s="108" t="inlineStr">
        <is>
          <t>Dinner (Regular)</t>
        </is>
      </c>
      <c r="B36" s="83" t="n">
        <v>3</v>
      </c>
      <c r="C36" s="84">
        <f>IF(A36="","",VLOOKUP(A36,'Master Data'!$A$38:$C$46,2,FALSE))</f>
        <v/>
      </c>
      <c r="D36" s="84">
        <f>IF(A36="","",VLOOKUP(A36,'Master Data'!$A$38:$C$46,3,FALSE))</f>
        <v/>
      </c>
      <c r="E36" s="137">
        <f>IF(D36&gt;0,(D36-C36)/D36,0)</f>
        <v/>
      </c>
      <c r="F36" s="81" t="inlineStr"/>
      <c r="G36" s="81" t="inlineStr"/>
      <c r="H36" s="81" t="inlineStr"/>
      <c r="I36" s="81" t="inlineStr"/>
      <c r="J36" s="142" t="inlineStr">
        <is>
          <t>+</t>
        </is>
      </c>
      <c r="K36" s="84">
        <f>IF(A36="","",(COUNTIF(F36,"✓")+COUNTIF(G36,"✓")+COUNTIF(H36,"✓")+COUNTIF(I36,"✓")+COUNTIF(M36,"✓")+COUNTIF(N36,"✓")+COUNTIF(O36,"✓")+COUNTIF(P36,"✓"))*B36*C36)</f>
        <v/>
      </c>
      <c r="L36" s="84">
        <f>IF(A36="","",(COUNTIF(F36,"✓")+COUNTIF(G36,"✓")+COUNTIF(H36,"✓")+COUNTIF(I36,"✓")+COUNTIF(M36,"✓")+COUNTIF(N36,"✓")+COUNTIF(O36,"✓")+COUNTIF(P36,"✓"))*B36*D36)</f>
        <v/>
      </c>
      <c r="M36" s="81" t="inlineStr"/>
      <c r="N36" s="81" t="inlineStr"/>
      <c r="O36" s="81" t="inlineStr"/>
      <c r="P36" s="81" t="inlineStr"/>
      <c r="Q36" s="81">
        <f>IF(A36="",0,COUNTIF(A$35:A35,A36))</f>
        <v/>
      </c>
    </row>
    <row r="37">
      <c r="A37" s="109" t="inlineStr">
        <is>
          <t>Exclusive Dinner (Michelin/Fine)</t>
        </is>
      </c>
      <c r="B37" s="83" t="n">
        <v>2</v>
      </c>
      <c r="C37" s="84">
        <f>IF(A37="","",VLOOKUP(A37,'Master Data'!$A$38:$C$46,2,FALSE))</f>
        <v/>
      </c>
      <c r="D37" s="84">
        <f>IF(A37="","",VLOOKUP(A37,'Master Data'!$A$38:$C$46,3,FALSE))</f>
        <v/>
      </c>
      <c r="E37" s="137">
        <f>IF(D37&gt;0,(D37-C37)/D37,0)</f>
        <v/>
      </c>
      <c r="F37" s="81" t="inlineStr"/>
      <c r="G37" s="81" t="inlineStr"/>
      <c r="H37" s="81" t="inlineStr"/>
      <c r="I37" s="81" t="inlineStr"/>
      <c r="J37" s="142" t="inlineStr">
        <is>
          <t>+</t>
        </is>
      </c>
      <c r="K37" s="84">
        <f>IF(A37="","",(COUNTIF(F37,"✓")+COUNTIF(G37,"✓")+COUNTIF(H37,"✓")+COUNTIF(I37,"✓")+COUNTIF(M37,"✓")+COUNTIF(N37,"✓")+COUNTIF(O37,"✓")+COUNTIF(P37,"✓"))*B37*C37)</f>
        <v/>
      </c>
      <c r="L37" s="84">
        <f>IF(A37="","",(COUNTIF(F37,"✓")+COUNTIF(G37,"✓")+COUNTIF(H37,"✓")+COUNTIF(I37,"✓")+COUNTIF(M37,"✓")+COUNTIF(N37,"✓")+COUNTIF(O37,"✓")+COUNTIF(P37,"✓"))*B37*D37)</f>
        <v/>
      </c>
      <c r="M37" s="81" t="inlineStr"/>
      <c r="N37" s="81" t="inlineStr"/>
      <c r="O37" s="81" t="inlineStr"/>
      <c r="P37" s="81" t="inlineStr"/>
      <c r="Q37" s="81">
        <f>IF(A37="",0,COUNTIF(A$35:A36,A37))</f>
        <v/>
      </c>
    </row>
    <row r="38">
      <c r="A38" s="108" t="inlineStr">
        <is>
          <t>Lunch</t>
        </is>
      </c>
      <c r="B38" s="83" t="n">
        <v>3</v>
      </c>
      <c r="C38" s="84">
        <f>IF(A38="","",VLOOKUP(A38,'Master Data'!$A$38:$C$46,2,FALSE))</f>
        <v/>
      </c>
      <c r="D38" s="84">
        <f>IF(A38="","",VLOOKUP(A38,'Master Data'!$A$38:$C$46,3,FALSE))</f>
        <v/>
      </c>
      <c r="E38" s="137">
        <f>IF(D38&gt;0,(D38-C38)/D38,0)</f>
        <v/>
      </c>
      <c r="F38" s="81" t="inlineStr"/>
      <c r="G38" s="81" t="inlineStr"/>
      <c r="H38" s="81" t="inlineStr"/>
      <c r="I38" s="81" t="inlineStr"/>
      <c r="J38" s="142" t="inlineStr">
        <is>
          <t>+</t>
        </is>
      </c>
      <c r="K38" s="84">
        <f>IF(A38="","",(COUNTIF(F38,"✓")+COUNTIF(G38,"✓")+COUNTIF(H38,"✓")+COUNTIF(I38,"✓")+COUNTIF(M38,"✓")+COUNTIF(N38,"✓")+COUNTIF(O38,"✓")+COUNTIF(P38,"✓"))*B38*C38)</f>
        <v/>
      </c>
      <c r="L38" s="84">
        <f>IF(A38="","",(COUNTIF(F38,"✓")+COUNTIF(G38,"✓")+COUNTIF(H38,"✓")+COUNTIF(I38,"✓")+COUNTIF(M38,"✓")+COUNTIF(N38,"✓")+COUNTIF(O38,"✓")+COUNTIF(P38,"✓"))*B38*D38)</f>
        <v/>
      </c>
      <c r="M38" s="81" t="inlineStr"/>
      <c r="N38" s="81" t="inlineStr"/>
      <c r="O38" s="81" t="inlineStr"/>
      <c r="P38" s="81" t="inlineStr"/>
      <c r="Q38" s="81">
        <f>IF(A38="",0,COUNTIF(A$35:A37,A38))</f>
        <v/>
      </c>
    </row>
    <row r="39">
      <c r="A39" s="129" t="inlineStr"/>
      <c r="B39" s="83" t="inlineStr"/>
      <c r="C39" s="84">
        <f>IF(A39="","",VLOOKUP(A39,'Master Data'!$A$38:$C$46,2,FALSE))</f>
        <v/>
      </c>
      <c r="D39" s="84">
        <f>IF(A39="","",VLOOKUP(A39,'Master Data'!$A$38:$C$46,3,FALSE))</f>
        <v/>
      </c>
      <c r="E39" s="137">
        <f>IF(D39&gt;0,(D39-C39)/D39,0)</f>
        <v/>
      </c>
      <c r="F39" s="81" t="inlineStr"/>
      <c r="G39" s="81" t="inlineStr"/>
      <c r="H39" s="81" t="inlineStr"/>
      <c r="I39" s="81" t="inlineStr"/>
      <c r="J39" s="142" t="inlineStr">
        <is>
          <t>+</t>
        </is>
      </c>
      <c r="K39" s="84">
        <f>IF(A39="","",(COUNTIF(F39,"✓")+COUNTIF(G39,"✓")+COUNTIF(H39,"✓")+COUNTIF(I39,"✓")+COUNTIF(M39,"✓")+COUNTIF(N39,"✓")+COUNTIF(O39,"✓")+COUNTIF(P39,"✓"))*B39*C39)</f>
        <v/>
      </c>
      <c r="L39" s="84">
        <f>IF(A39="","",(COUNTIF(F39,"✓")+COUNTIF(G39,"✓")+COUNTIF(H39,"✓")+COUNTIF(I39,"✓")+COUNTIF(M39,"✓")+COUNTIF(N39,"✓")+COUNTIF(O39,"✓")+COUNTIF(P39,"✓"))*B39*D39)</f>
        <v/>
      </c>
      <c r="M39" s="81" t="inlineStr"/>
      <c r="N39" s="81" t="inlineStr"/>
      <c r="O39" s="81" t="inlineStr"/>
      <c r="P39" s="81" t="inlineStr"/>
      <c r="Q39" s="81">
        <f>IF(A39="",0,COUNTIF(A$35:A38,A39))</f>
        <v/>
      </c>
    </row>
    <row r="40">
      <c r="A40" s="123" t="inlineStr">
        <is>
          <t>SUBTOTAL</t>
        </is>
      </c>
      <c r="B40" s="114" t="inlineStr"/>
      <c r="C40" s="114" t="inlineStr"/>
      <c r="D40" s="114" t="inlineStr"/>
      <c r="E40" s="114" t="inlineStr"/>
      <c r="F40" s="130">
        <f>SUMPRODUCT((F35:F39="✓")*1,B35:B39,C35:C39)</f>
        <v/>
      </c>
      <c r="G40" s="130">
        <f>SUMPRODUCT((G35:G39="✓")*1,B35:B39,C35:C39)</f>
        <v/>
      </c>
      <c r="H40" s="130">
        <f>SUMPRODUCT((H35:H39="✓")*1,B35:B39,C35:C39)</f>
        <v/>
      </c>
      <c r="I40" s="130">
        <f>SUMPRODUCT((I35:I39="✓")*1,B35:B39,C35:C39)</f>
        <v/>
      </c>
      <c r="J40" s="114" t="inlineStr"/>
      <c r="K40" s="88">
        <f>SUM(K35:K39)</f>
        <v/>
      </c>
      <c r="L40" s="88">
        <f>SUM(L35:L39)</f>
        <v/>
      </c>
      <c r="M40" s="130">
        <f>SUMPRODUCT((M35:M39="✓")*1,B35:B39,C35:C39)</f>
        <v/>
      </c>
      <c r="N40" s="130">
        <f>SUMPRODUCT((N35:N39="✓")*1,B35:B39,C35:C39)</f>
        <v/>
      </c>
      <c r="O40" s="130">
        <f>SUMPRODUCT((O35:O39="✓")*1,B35:B39,C35:C39)</f>
        <v/>
      </c>
      <c r="P40" s="130">
        <f>SUMPRODUCT((P35:P39="✓")*1,B35:B39,C35:C39)</f>
        <v/>
      </c>
    </row>
    <row r="42">
      <c r="A42" s="128" t="inlineStr">
        <is>
          <t>📦 OTHER</t>
        </is>
      </c>
      <c r="B42" s="77" t="n"/>
      <c r="C42" s="77" t="n"/>
      <c r="D42" s="77" t="n"/>
      <c r="E42" s="77" t="n"/>
      <c r="F42" s="77" t="n"/>
      <c r="G42" s="77" t="n"/>
      <c r="H42" s="77" t="n"/>
      <c r="I42" s="77" t="n"/>
      <c r="J42" s="77" t="n"/>
      <c r="K42" s="77" t="n"/>
      <c r="L42" s="77" t="n"/>
    </row>
    <row r="43">
      <c r="A43" s="109" t="inlineStr">
        <is>
          <t>Insurance / Tips / Contingency</t>
        </is>
      </c>
      <c r="B43" s="83" t="n">
        <v>4</v>
      </c>
      <c r="C43" s="84">
        <f>IF(A43="","",VLOOKUP(A43,'Master Data'!$A$50:$C$56,2,FALSE))</f>
        <v/>
      </c>
      <c r="D43" s="84">
        <f>IF(A43="","",VLOOKUP(A43,'Master Data'!$A$50:$C$56,3,FALSE))</f>
        <v/>
      </c>
      <c r="E43" s="137">
        <f>IF(D43&gt;0,(D43-C43)/D43,0)</f>
        <v/>
      </c>
      <c r="F43" s="81" t="inlineStr"/>
      <c r="G43" s="81" t="inlineStr"/>
      <c r="H43" s="81" t="inlineStr"/>
      <c r="I43" s="81" t="inlineStr"/>
      <c r="J43" s="142" t="inlineStr">
        <is>
          <t>+</t>
        </is>
      </c>
      <c r="K43" s="84">
        <f>IF(A43="","",(COUNTIF(F43,"✓")+COUNTIF(G43,"✓")+COUNTIF(H43,"✓")+COUNTIF(I43,"✓")+COUNTIF(M43,"✓")+COUNTIF(N43,"✓")+COUNTIF(O43,"✓")+COUNTIF(P43,"✓"))*B43*C43)</f>
        <v/>
      </c>
      <c r="L43" s="84">
        <f>IF(A43="","",(COUNTIF(F43,"✓")+COUNTIF(G43,"✓")+COUNTIF(H43,"✓")+COUNTIF(I43,"✓")+COUNTIF(M43,"✓")+COUNTIF(N43,"✓")+COUNTIF(O43,"✓")+COUNTIF(P43,"✓"))*B43*D43)</f>
        <v/>
      </c>
      <c r="M43" s="81" t="inlineStr"/>
      <c r="N43" s="81" t="inlineStr"/>
      <c r="O43" s="81" t="inlineStr"/>
      <c r="P43" s="81" t="inlineStr"/>
      <c r="Q43" s="81">
        <f>0</f>
        <v/>
      </c>
    </row>
    <row r="44">
      <c r="A44" s="129" t="inlineStr"/>
      <c r="B44" s="83" t="inlineStr"/>
      <c r="C44" s="84">
        <f>IF(A44="","",VLOOKUP(A44,'Master Data'!$A$50:$C$56,2,FALSE))</f>
        <v/>
      </c>
      <c r="D44" s="84">
        <f>IF(A44="","",VLOOKUP(A44,'Master Data'!$A$50:$C$56,3,FALSE))</f>
        <v/>
      </c>
      <c r="E44" s="137">
        <f>IF(D44&gt;0,(D44-C44)/D44,0)</f>
        <v/>
      </c>
      <c r="F44" s="81" t="inlineStr"/>
      <c r="G44" s="81" t="inlineStr"/>
      <c r="H44" s="81" t="inlineStr"/>
      <c r="I44" s="81" t="inlineStr"/>
      <c r="J44" s="142" t="inlineStr">
        <is>
          <t>+</t>
        </is>
      </c>
      <c r="K44" s="84">
        <f>IF(A44="","",(COUNTIF(F44,"✓")+COUNTIF(G44,"✓")+COUNTIF(H44,"✓")+COUNTIF(I44,"✓")+COUNTIF(M44,"✓")+COUNTIF(N44,"✓")+COUNTIF(O44,"✓")+COUNTIF(P44,"✓"))*B44*C44)</f>
        <v/>
      </c>
      <c r="L44" s="84">
        <f>IF(A44="","",(COUNTIF(F44,"✓")+COUNTIF(G44,"✓")+COUNTIF(H44,"✓")+COUNTIF(I44,"✓")+COUNTIF(M44,"✓")+COUNTIF(N44,"✓")+COUNTIF(O44,"✓")+COUNTIF(P44,"✓"))*B44*D44)</f>
        <v/>
      </c>
      <c r="M44" s="81" t="inlineStr"/>
      <c r="N44" s="81" t="inlineStr"/>
      <c r="O44" s="81" t="inlineStr"/>
      <c r="P44" s="81" t="inlineStr"/>
      <c r="Q44" s="81">
        <f>IF(A44="",0,COUNTIF(A$43:A43,A44))</f>
        <v/>
      </c>
    </row>
    <row r="45">
      <c r="A45" s="129" t="inlineStr"/>
      <c r="B45" s="83" t="inlineStr"/>
      <c r="C45" s="84">
        <f>IF(A45="","",VLOOKUP(A45,'Master Data'!$A$50:$C$56,2,FALSE))</f>
        <v/>
      </c>
      <c r="D45" s="84">
        <f>IF(A45="","",VLOOKUP(A45,'Master Data'!$A$50:$C$56,3,FALSE))</f>
        <v/>
      </c>
      <c r="E45" s="137">
        <f>IF(D45&gt;0,(D45-C45)/D45,0)</f>
        <v/>
      </c>
      <c r="F45" s="81" t="inlineStr"/>
      <c r="G45" s="81" t="inlineStr"/>
      <c r="H45" s="81" t="inlineStr"/>
      <c r="I45" s="81" t="inlineStr"/>
      <c r="J45" s="142" t="inlineStr">
        <is>
          <t>+</t>
        </is>
      </c>
      <c r="K45" s="84">
        <f>IF(A45="","",(COUNTIF(F45,"✓")+COUNTIF(G45,"✓")+COUNTIF(H45,"✓")+COUNTIF(I45,"✓")+COUNTIF(M45,"✓")+COUNTIF(N45,"✓")+COUNTIF(O45,"✓")+COUNTIF(P45,"✓"))*B45*C45)</f>
        <v/>
      </c>
      <c r="L45" s="84">
        <f>IF(A45="","",(COUNTIF(F45,"✓")+COUNTIF(G45,"✓")+COUNTIF(H45,"✓")+COUNTIF(I45,"✓")+COUNTIF(M45,"✓")+COUNTIF(N45,"✓")+COUNTIF(O45,"✓")+COUNTIF(P45,"✓"))*B45*D45)</f>
        <v/>
      </c>
      <c r="M45" s="81" t="inlineStr"/>
      <c r="N45" s="81" t="inlineStr"/>
      <c r="O45" s="81" t="inlineStr"/>
      <c r="P45" s="81" t="inlineStr"/>
      <c r="Q45" s="81">
        <f>IF(A45="",0,COUNTIF(A$43:A44,A45))</f>
        <v/>
      </c>
    </row>
    <row r="46">
      <c r="A46" s="123" t="inlineStr">
        <is>
          <t>SUBTOTAL</t>
        </is>
      </c>
      <c r="B46" s="114" t="inlineStr"/>
      <c r="C46" s="114" t="inlineStr"/>
      <c r="D46" s="114" t="inlineStr"/>
      <c r="E46" s="114" t="inlineStr"/>
      <c r="F46" s="130">
        <f>SUMPRODUCT((F43:F45="✓")*1,B43:B45,C43:C45)</f>
        <v/>
      </c>
      <c r="G46" s="130">
        <f>SUMPRODUCT((G43:G45="✓")*1,B43:B45,C43:C45)</f>
        <v/>
      </c>
      <c r="H46" s="130">
        <f>SUMPRODUCT((H43:H45="✓")*1,B43:B45,C43:C45)</f>
        <v/>
      </c>
      <c r="I46" s="130">
        <f>SUMPRODUCT((I43:I45="✓")*1,B43:B45,C43:C45)</f>
        <v/>
      </c>
      <c r="J46" s="114" t="inlineStr"/>
      <c r="K46" s="88">
        <f>SUM(K43:K45)</f>
        <v/>
      </c>
      <c r="L46" s="88">
        <f>SUM(L43:L45)</f>
        <v/>
      </c>
      <c r="M46" s="130">
        <f>SUMPRODUCT((M43:M45="✓")*1,B43:B45,C43:C45)</f>
        <v/>
      </c>
      <c r="N46" s="130">
        <f>SUMPRODUCT((N43:N45="✓")*1,B43:B45,C43:C45)</f>
        <v/>
      </c>
      <c r="O46" s="130">
        <f>SUMPRODUCT((O43:O45="✓")*1,B43:B45,C43:C45)</f>
        <v/>
      </c>
      <c r="P46" s="130">
        <f>SUMPRODUCT((P43:P45="✓")*1,B43:B45,C43:C45)</f>
        <v/>
      </c>
    </row>
    <row r="48">
      <c r="A48" s="128" t="inlineStr">
        <is>
          <t>🎯 ACTIVITIES</t>
        </is>
      </c>
      <c r="B48" s="77" t="n"/>
      <c r="C48" s="77" t="n"/>
      <c r="D48" s="77" t="n"/>
      <c r="E48" s="77" t="n"/>
      <c r="F48" s="77" t="n"/>
      <c r="G48" s="77" t="n"/>
      <c r="H48" s="77" t="n"/>
      <c r="I48" s="77" t="n"/>
      <c r="J48" s="77" t="n"/>
      <c r="K48" s="77" t="n"/>
      <c r="L48" s="77" t="n"/>
    </row>
    <row r="49">
      <c r="A49" s="109" t="inlineStr">
        <is>
          <t>Beach/Surf Lesson</t>
        </is>
      </c>
      <c r="B49" s="83" t="n">
        <v>1</v>
      </c>
      <c r="C49" s="84">
        <f>IF(A49="","",VLOOKUP(A49,'Master Data'!$A$86:$C$94,2,FALSE))</f>
        <v/>
      </c>
      <c r="D49" s="84">
        <f>IF(A49="","",VLOOKUP(A49,'Master Data'!$A$86:$C$94,3,FALSE))</f>
        <v/>
      </c>
      <c r="E49" s="137">
        <f>IF(D49&gt;0,(D49-C49)/D49,0)</f>
        <v/>
      </c>
      <c r="F49" s="81" t="inlineStr"/>
      <c r="G49" s="81" t="inlineStr"/>
      <c r="H49" s="81" t="inlineStr"/>
      <c r="I49" s="81" t="inlineStr"/>
      <c r="J49" s="142" t="inlineStr">
        <is>
          <t>+</t>
        </is>
      </c>
      <c r="K49" s="84">
        <f>IF(A49="","",(COUNTIF(F49,"✓")+COUNTIF(G49,"✓")+COUNTIF(H49,"✓")+COUNTIF(I49,"✓")+COUNTIF(M49,"✓")+COUNTIF(N49,"✓")+COUNTIF(O49,"✓")+COUNTIF(P49,"✓"))*B49*C49)</f>
        <v/>
      </c>
      <c r="L49" s="84">
        <f>IF(A49="","",(COUNTIF(F49,"✓")+COUNTIF(G49,"✓")+COUNTIF(H49,"✓")+COUNTIF(I49,"✓")+COUNTIF(M49,"✓")+COUNTIF(N49,"✓")+COUNTIF(O49,"✓")+COUNTIF(P49,"✓"))*B49*D49)</f>
        <v/>
      </c>
      <c r="M49" s="81" t="inlineStr"/>
      <c r="N49" s="81" t="inlineStr"/>
      <c r="O49" s="81" t="inlineStr"/>
      <c r="P49" s="81" t="inlineStr"/>
      <c r="Q49" s="81">
        <f>0</f>
        <v/>
      </c>
    </row>
    <row r="50">
      <c r="A50" s="108" t="inlineStr">
        <is>
          <t>Local Hiking (Griffith/Runyon)</t>
        </is>
      </c>
      <c r="B50" s="83" t="n">
        <v>1</v>
      </c>
      <c r="C50" s="84">
        <f>IF(A50="","",VLOOKUP(A50,'Master Data'!$A$86:$C$94,2,FALSE))</f>
        <v/>
      </c>
      <c r="D50" s="84">
        <f>IF(A50="","",VLOOKUP(A50,'Master Data'!$A$86:$C$94,3,FALSE))</f>
        <v/>
      </c>
      <c r="E50" s="137">
        <f>IF(D50&gt;0,(D50-C50)/D50,0)</f>
        <v/>
      </c>
      <c r="F50" s="81" t="inlineStr"/>
      <c r="G50" s="81" t="inlineStr"/>
      <c r="H50" s="81" t="inlineStr"/>
      <c r="I50" s="81" t="inlineStr"/>
      <c r="J50" s="142" t="inlineStr">
        <is>
          <t>+</t>
        </is>
      </c>
      <c r="K50" s="84">
        <f>IF(A50="","",(COUNTIF(F50,"✓")+COUNTIF(G50,"✓")+COUNTIF(H50,"✓")+COUNTIF(I50,"✓")+COUNTIF(M50,"✓")+COUNTIF(N50,"✓")+COUNTIF(O50,"✓")+COUNTIF(P50,"✓"))*B50*C50)</f>
        <v/>
      </c>
      <c r="L50" s="84">
        <f>IF(A50="","",(COUNTIF(F50,"✓")+COUNTIF(G50,"✓")+COUNTIF(H50,"✓")+COUNTIF(I50,"✓")+COUNTIF(M50,"✓")+COUNTIF(N50,"✓")+COUNTIF(O50,"✓")+COUNTIF(P50,"✓"))*B50*D50)</f>
        <v/>
      </c>
      <c r="M50" s="81" t="inlineStr"/>
      <c r="N50" s="81" t="inlineStr"/>
      <c r="O50" s="81" t="inlineStr"/>
      <c r="P50" s="81" t="inlineStr"/>
      <c r="Q50" s="81">
        <f>IF(A50="",0,COUNTIF(A$49:A49,A50))</f>
        <v/>
      </c>
    </row>
    <row r="51">
      <c r="A51" s="109" t="inlineStr">
        <is>
          <t>NBA/MLB Game (Ticket)</t>
        </is>
      </c>
      <c r="B51" s="83" t="n">
        <v>1</v>
      </c>
      <c r="C51" s="84">
        <f>IF(A51="","",VLOOKUP(A51,'Master Data'!$A$86:$C$94,2,FALSE))</f>
        <v/>
      </c>
      <c r="D51" s="84">
        <f>IF(A51="","",VLOOKUP(A51,'Master Data'!$A$86:$C$94,3,FALSE))</f>
        <v/>
      </c>
      <c r="E51" s="137">
        <f>IF(D51&gt;0,(D51-C51)/D51,0)</f>
        <v/>
      </c>
      <c r="F51" s="81" t="inlineStr"/>
      <c r="G51" s="81" t="inlineStr"/>
      <c r="H51" s="81" t="inlineStr"/>
      <c r="I51" s="81" t="inlineStr"/>
      <c r="J51" s="142" t="inlineStr">
        <is>
          <t>+</t>
        </is>
      </c>
      <c r="K51" s="84">
        <f>IF(A51="","",(COUNTIF(F51,"✓")+COUNTIF(G51,"✓")+COUNTIF(H51,"✓")+COUNTIF(I51,"✓")+COUNTIF(M51,"✓")+COUNTIF(N51,"✓")+COUNTIF(O51,"✓")+COUNTIF(P51,"✓"))*B51*C51)</f>
        <v/>
      </c>
      <c r="L51" s="84">
        <f>IF(A51="","",(COUNTIF(F51,"✓")+COUNTIF(G51,"✓")+COUNTIF(H51,"✓")+COUNTIF(I51,"✓")+COUNTIF(M51,"✓")+COUNTIF(N51,"✓")+COUNTIF(O51,"✓")+COUNTIF(P51,"✓"))*B51*D51)</f>
        <v/>
      </c>
      <c r="M51" s="81" t="inlineStr"/>
      <c r="N51" s="81" t="inlineStr"/>
      <c r="O51" s="81" t="inlineStr"/>
      <c r="P51" s="81" t="inlineStr"/>
      <c r="Q51" s="81">
        <f>IF(A51="",0,COUNTIF(A$49:A50,A51))</f>
        <v/>
      </c>
    </row>
    <row r="52">
      <c r="A52" s="108" t="inlineStr">
        <is>
          <t>Sports Bar Experience</t>
        </is>
      </c>
      <c r="B52" s="83" t="n">
        <v>1</v>
      </c>
      <c r="C52" s="84">
        <f>IF(A52="","",VLOOKUP(A52,'Master Data'!$A$86:$C$94,2,FALSE))</f>
        <v/>
      </c>
      <c r="D52" s="84">
        <f>IF(A52="","",VLOOKUP(A52,'Master Data'!$A$86:$C$94,3,FALSE))</f>
        <v/>
      </c>
      <c r="E52" s="137">
        <f>IF(D52&gt;0,(D52-C52)/D52,0)</f>
        <v/>
      </c>
      <c r="F52" s="81" t="inlineStr"/>
      <c r="G52" s="81" t="inlineStr"/>
      <c r="H52" s="81" t="inlineStr"/>
      <c r="I52" s="81" t="inlineStr"/>
      <c r="J52" s="142" t="inlineStr">
        <is>
          <t>+</t>
        </is>
      </c>
      <c r="K52" s="84">
        <f>IF(A52="","",(COUNTIF(F52,"✓")+COUNTIF(G52,"✓")+COUNTIF(H52,"✓")+COUNTIF(I52,"✓")+COUNTIF(M52,"✓")+COUNTIF(N52,"✓")+COUNTIF(O52,"✓")+COUNTIF(P52,"✓"))*B52*C52)</f>
        <v/>
      </c>
      <c r="L52" s="84">
        <f>IF(A52="","",(COUNTIF(F52,"✓")+COUNTIF(G52,"✓")+COUNTIF(H52,"✓")+COUNTIF(I52,"✓")+COUNTIF(M52,"✓")+COUNTIF(N52,"✓")+COUNTIF(O52,"✓")+COUNTIF(P52,"✓"))*B52*D52)</f>
        <v/>
      </c>
      <c r="M52" s="81" t="inlineStr"/>
      <c r="N52" s="81" t="inlineStr"/>
      <c r="O52" s="81" t="inlineStr"/>
      <c r="P52" s="81" t="inlineStr"/>
      <c r="Q52" s="81">
        <f>IF(A52="",0,COUNTIF(A$49:A51,A52))</f>
        <v/>
      </c>
    </row>
    <row r="53">
      <c r="A53" s="129" t="inlineStr"/>
      <c r="B53" s="83" t="inlineStr"/>
      <c r="C53" s="84">
        <f>IF(A53="","",VLOOKUP(A53,'Master Data'!$A$86:$C$94,2,FALSE))</f>
        <v/>
      </c>
      <c r="D53" s="84">
        <f>IF(A53="","",VLOOKUP(A53,'Master Data'!$A$86:$C$94,3,FALSE))</f>
        <v/>
      </c>
      <c r="E53" s="137">
        <f>IF(D53&gt;0,(D53-C53)/D53,0)</f>
        <v/>
      </c>
      <c r="F53" s="81" t="inlineStr"/>
      <c r="G53" s="81" t="inlineStr"/>
      <c r="H53" s="81" t="inlineStr"/>
      <c r="I53" s="81" t="inlineStr"/>
      <c r="J53" s="142" t="inlineStr">
        <is>
          <t>+</t>
        </is>
      </c>
      <c r="K53" s="84">
        <f>IF(A53="","",(COUNTIF(F53,"✓")+COUNTIF(G53,"✓")+COUNTIF(H53,"✓")+COUNTIF(I53,"✓")+COUNTIF(M53,"✓")+COUNTIF(N53,"✓")+COUNTIF(O53,"✓")+COUNTIF(P53,"✓"))*B53*C53)</f>
        <v/>
      </c>
      <c r="L53" s="84">
        <f>IF(A53="","",(COUNTIF(F53,"✓")+COUNTIF(G53,"✓")+COUNTIF(H53,"✓")+COUNTIF(I53,"✓")+COUNTIF(M53,"✓")+COUNTIF(N53,"✓")+COUNTIF(O53,"✓")+COUNTIF(P53,"✓"))*B53*D53)</f>
        <v/>
      </c>
      <c r="M53" s="81" t="inlineStr"/>
      <c r="N53" s="81" t="inlineStr"/>
      <c r="O53" s="81" t="inlineStr"/>
      <c r="P53" s="81" t="inlineStr"/>
      <c r="Q53" s="81">
        <f>IF(A53="",0,COUNTIF(A$49:A52,A53))</f>
        <v/>
      </c>
    </row>
    <row r="54">
      <c r="A54" s="129" t="inlineStr"/>
      <c r="B54" s="83" t="inlineStr"/>
      <c r="C54" s="84">
        <f>IF(A54="","",VLOOKUP(A54,'Master Data'!$A$86:$C$94,2,FALSE))</f>
        <v/>
      </c>
      <c r="D54" s="84">
        <f>IF(A54="","",VLOOKUP(A54,'Master Data'!$A$86:$C$94,3,FALSE))</f>
        <v/>
      </c>
      <c r="E54" s="137">
        <f>IF(D54&gt;0,(D54-C54)/D54,0)</f>
        <v/>
      </c>
      <c r="F54" s="81" t="inlineStr"/>
      <c r="G54" s="81" t="inlineStr"/>
      <c r="H54" s="81" t="inlineStr"/>
      <c r="I54" s="81" t="inlineStr"/>
      <c r="J54" s="142" t="inlineStr">
        <is>
          <t>+</t>
        </is>
      </c>
      <c r="K54" s="84">
        <f>IF(A54="","",(COUNTIF(F54,"✓")+COUNTIF(G54,"✓")+COUNTIF(H54,"✓")+COUNTIF(I54,"✓")+COUNTIF(M54,"✓")+COUNTIF(N54,"✓")+COUNTIF(O54,"✓")+COUNTIF(P54,"✓"))*B54*C54)</f>
        <v/>
      </c>
      <c r="L54" s="84">
        <f>IF(A54="","",(COUNTIF(F54,"✓")+COUNTIF(G54,"✓")+COUNTIF(H54,"✓")+COUNTIF(I54,"✓")+COUNTIF(M54,"✓")+COUNTIF(N54,"✓")+COUNTIF(O54,"✓")+COUNTIF(P54,"✓"))*B54*D54)</f>
        <v/>
      </c>
      <c r="M54" s="81" t="inlineStr"/>
      <c r="N54" s="81" t="inlineStr"/>
      <c r="O54" s="81" t="inlineStr"/>
      <c r="P54" s="81" t="inlineStr"/>
      <c r="Q54" s="81">
        <f>IF(A54="",0,COUNTIF(A$49:A53,A54))</f>
        <v/>
      </c>
    </row>
    <row r="55">
      <c r="A55" s="129" t="inlineStr"/>
      <c r="B55" s="83" t="inlineStr"/>
      <c r="C55" s="84">
        <f>IF(A55="","",VLOOKUP(A55,'Master Data'!$A$86:$C$94,2,FALSE))</f>
        <v/>
      </c>
      <c r="D55" s="84">
        <f>IF(A55="","",VLOOKUP(A55,'Master Data'!$A$86:$C$94,3,FALSE))</f>
        <v/>
      </c>
      <c r="E55" s="137">
        <f>IF(D55&gt;0,(D55-C55)/D55,0)</f>
        <v/>
      </c>
      <c r="F55" s="81" t="inlineStr"/>
      <c r="G55" s="81" t="inlineStr"/>
      <c r="H55" s="81" t="inlineStr"/>
      <c r="I55" s="81" t="inlineStr"/>
      <c r="J55" s="142" t="inlineStr">
        <is>
          <t>+</t>
        </is>
      </c>
      <c r="K55" s="84">
        <f>IF(A55="","",(COUNTIF(F55,"✓")+COUNTIF(G55,"✓")+COUNTIF(H55,"✓")+COUNTIF(I55,"✓")+COUNTIF(M55,"✓")+COUNTIF(N55,"✓")+COUNTIF(O55,"✓")+COUNTIF(P55,"✓"))*B55*C55)</f>
        <v/>
      </c>
      <c r="L55" s="84">
        <f>IF(A55="","",(COUNTIF(F55,"✓")+COUNTIF(G55,"✓")+COUNTIF(H55,"✓")+COUNTIF(I55,"✓")+COUNTIF(M55,"✓")+COUNTIF(N55,"✓")+COUNTIF(O55,"✓")+COUNTIF(P55,"✓"))*B55*D55)</f>
        <v/>
      </c>
      <c r="M55" s="81" t="inlineStr"/>
      <c r="N55" s="81" t="inlineStr"/>
      <c r="O55" s="81" t="inlineStr"/>
      <c r="P55" s="81" t="inlineStr"/>
      <c r="Q55" s="81">
        <f>IF(A55="",0,COUNTIF(A$49:A54,A55))</f>
        <v/>
      </c>
    </row>
    <row r="56">
      <c r="A56" s="129" t="inlineStr"/>
      <c r="B56" s="83" t="inlineStr"/>
      <c r="C56" s="84">
        <f>IF(A56="","",VLOOKUP(A56,'Master Data'!$A$86:$C$94,2,FALSE))</f>
        <v/>
      </c>
      <c r="D56" s="84">
        <f>IF(A56="","",VLOOKUP(A56,'Master Data'!$A$86:$C$94,3,FALSE))</f>
        <v/>
      </c>
      <c r="E56" s="137">
        <f>IF(D56&gt;0,(D56-C56)/D56,0)</f>
        <v/>
      </c>
      <c r="F56" s="81" t="inlineStr"/>
      <c r="G56" s="81" t="inlineStr"/>
      <c r="H56" s="81" t="inlineStr"/>
      <c r="I56" s="81" t="inlineStr"/>
      <c r="J56" s="142" t="inlineStr">
        <is>
          <t>+</t>
        </is>
      </c>
      <c r="K56" s="84">
        <f>IF(A56="","",(COUNTIF(F56,"✓")+COUNTIF(G56,"✓")+COUNTIF(H56,"✓")+COUNTIF(I56,"✓")+COUNTIF(M56,"✓")+COUNTIF(N56,"✓")+COUNTIF(O56,"✓")+COUNTIF(P56,"✓"))*B56*C56)</f>
        <v/>
      </c>
      <c r="L56" s="84">
        <f>IF(A56="","",(COUNTIF(F56,"✓")+COUNTIF(G56,"✓")+COUNTIF(H56,"✓")+COUNTIF(I56,"✓")+COUNTIF(M56,"✓")+COUNTIF(N56,"✓")+COUNTIF(O56,"✓")+COUNTIF(P56,"✓"))*B56*D56)</f>
        <v/>
      </c>
      <c r="M56" s="81" t="inlineStr"/>
      <c r="N56" s="81" t="inlineStr"/>
      <c r="O56" s="81" t="inlineStr"/>
      <c r="P56" s="81" t="inlineStr"/>
      <c r="Q56" s="81">
        <f>IF(A56="",0,COUNTIF(A$49:A55,A56))</f>
        <v/>
      </c>
    </row>
    <row r="57">
      <c r="A57" s="129" t="inlineStr"/>
      <c r="B57" s="83" t="inlineStr"/>
      <c r="C57" s="84">
        <f>IF(A57="","",VLOOKUP(A57,'Master Data'!$A$86:$C$94,2,FALSE))</f>
        <v/>
      </c>
      <c r="D57" s="84">
        <f>IF(A57="","",VLOOKUP(A57,'Master Data'!$A$86:$C$94,3,FALSE))</f>
        <v/>
      </c>
      <c r="E57" s="137">
        <f>IF(D57&gt;0,(D57-C57)/D57,0)</f>
        <v/>
      </c>
      <c r="F57" s="81" t="inlineStr"/>
      <c r="G57" s="81" t="inlineStr"/>
      <c r="H57" s="81" t="inlineStr"/>
      <c r="I57" s="81" t="inlineStr"/>
      <c r="J57" s="142" t="inlineStr">
        <is>
          <t>+</t>
        </is>
      </c>
      <c r="K57" s="84">
        <f>IF(A57="","",(COUNTIF(F57,"✓")+COUNTIF(G57,"✓")+COUNTIF(H57,"✓")+COUNTIF(I57,"✓")+COUNTIF(M57,"✓")+COUNTIF(N57,"✓")+COUNTIF(O57,"✓")+COUNTIF(P57,"✓"))*B57*C57)</f>
        <v/>
      </c>
      <c r="L57" s="84">
        <f>IF(A57="","",(COUNTIF(F57,"✓")+COUNTIF(G57,"✓")+COUNTIF(H57,"✓")+COUNTIF(I57,"✓")+COUNTIF(M57,"✓")+COUNTIF(N57,"✓")+COUNTIF(O57,"✓")+COUNTIF(P57,"✓"))*B57*D57)</f>
        <v/>
      </c>
      <c r="M57" s="81" t="inlineStr"/>
      <c r="N57" s="81" t="inlineStr"/>
      <c r="O57" s="81" t="inlineStr"/>
      <c r="P57" s="81" t="inlineStr"/>
      <c r="Q57" s="81">
        <f>IF(A57="",0,COUNTIF(A$49:A56,A57))</f>
        <v/>
      </c>
    </row>
    <row r="58">
      <c r="A58" s="123" t="inlineStr">
        <is>
          <t>SUBTOTAL</t>
        </is>
      </c>
      <c r="B58" s="114" t="inlineStr"/>
      <c r="C58" s="114" t="inlineStr"/>
      <c r="D58" s="114" t="inlineStr"/>
      <c r="E58" s="114" t="inlineStr"/>
      <c r="F58" s="130">
        <f>SUMPRODUCT((F49:F57="✓")*1,B49:B57,C49:C57)</f>
        <v/>
      </c>
      <c r="G58" s="130">
        <f>SUMPRODUCT((G49:G57="✓")*1,B49:B57,C49:C57)</f>
        <v/>
      </c>
      <c r="H58" s="130">
        <f>SUMPRODUCT((H49:H57="✓")*1,B49:B57,C49:C57)</f>
        <v/>
      </c>
      <c r="I58" s="130">
        <f>SUMPRODUCT((I49:I57="✓")*1,B49:B57,C49:C57)</f>
        <v/>
      </c>
      <c r="J58" s="114" t="inlineStr"/>
      <c r="K58" s="88">
        <f>SUM(K49:K57)</f>
        <v/>
      </c>
      <c r="L58" s="88">
        <f>SUM(L49:L57)</f>
        <v/>
      </c>
      <c r="M58" s="130">
        <f>SUMPRODUCT((M49:M57="✓")*1,B49:B57,C49:C57)</f>
        <v/>
      </c>
      <c r="N58" s="130">
        <f>SUMPRODUCT((N49:N57="✓")*1,B49:B57,C49:C57)</f>
        <v/>
      </c>
      <c r="O58" s="130">
        <f>SUMPRODUCT((O49:O57="✓")*1,B49:B57,C49:C57)</f>
        <v/>
      </c>
      <c r="P58" s="130">
        <f>SUMPRODUCT((P49:P57="✓")*1,B49:B57,C49:C57)</f>
        <v/>
      </c>
    </row>
    <row r="61">
      <c r="A61" s="103" t="inlineStr">
        <is>
          <t>🏆 GRAND TOTAL</t>
        </is>
      </c>
      <c r="B61" s="104" t="n"/>
      <c r="C61" s="104" t="n"/>
      <c r="D61" s="104" t="n"/>
      <c r="E61" s="104" t="n"/>
      <c r="F61" s="104" t="n"/>
      <c r="G61" s="104" t="n"/>
      <c r="H61" s="104" t="n"/>
      <c r="I61" s="104" t="n"/>
      <c r="J61" s="104" t="n"/>
      <c r="K61" s="104" t="n"/>
      <c r="L61" s="104" t="n"/>
    </row>
    <row r="62">
      <c r="A62" s="108" t="inlineStr">
        <is>
          <t>GOLF</t>
        </is>
      </c>
      <c r="K62" s="84">
        <f>K20</f>
        <v/>
      </c>
      <c r="L62" s="84">
        <f>L20</f>
        <v/>
      </c>
    </row>
    <row r="63">
      <c r="A63" s="108" t="inlineStr">
        <is>
          <t>HOTEL</t>
        </is>
      </c>
      <c r="K63" s="84">
        <f>K26</f>
        <v/>
      </c>
      <c r="L63" s="84">
        <f>L26</f>
        <v/>
      </c>
    </row>
    <row r="64">
      <c r="A64" s="108" t="inlineStr">
        <is>
          <t>TRANSPORT</t>
        </is>
      </c>
      <c r="K64" s="84">
        <f>K32</f>
        <v/>
      </c>
      <c r="L64" s="84">
        <f>L32</f>
        <v/>
      </c>
    </row>
    <row r="65">
      <c r="A65" s="108" t="inlineStr">
        <is>
          <t>MEALS</t>
        </is>
      </c>
      <c r="K65" s="84">
        <f>K40</f>
        <v/>
      </c>
      <c r="L65" s="84">
        <f>L40</f>
        <v/>
      </c>
    </row>
    <row r="66">
      <c r="A66" s="108" t="inlineStr">
        <is>
          <t>OTHER</t>
        </is>
      </c>
      <c r="K66" s="84">
        <f>K46</f>
        <v/>
      </c>
      <c r="L66" s="84">
        <f>L46</f>
        <v/>
      </c>
    </row>
    <row r="67">
      <c r="A67" s="108" t="inlineStr">
        <is>
          <t>ACTIVITIES</t>
        </is>
      </c>
      <c r="K67" s="84">
        <f>K58</f>
        <v/>
      </c>
      <c r="L67" s="84">
        <f>L58</f>
        <v/>
      </c>
    </row>
    <row r="68">
      <c r="A68" s="115" t="inlineStr">
        <is>
          <t>📌 GRAND TOTAL</t>
        </is>
      </c>
      <c r="C68" s="116" t="inlineStr">
        <is>
          <t>Margin:</t>
        </is>
      </c>
      <c r="D68" s="91">
        <f>IF(L68&gt;0,(L68-K68)/L68,0)</f>
        <v/>
      </c>
      <c r="K68" s="88">
        <f>SUM(K62:K67)</f>
        <v/>
      </c>
      <c r="L68" s="88">
        <f>SUM(L62:L67)</f>
        <v/>
      </c>
    </row>
    <row r="70">
      <c r="A70" s="103" t="inlineStr">
        <is>
          <t>👤 PER PERSON SUMMARY</t>
        </is>
      </c>
      <c r="B70" s="104" t="n"/>
      <c r="C70" s="104" t="n"/>
      <c r="D70" s="104" t="n"/>
      <c r="E70" s="104" t="n"/>
      <c r="F70" s="104" t="n"/>
      <c r="G70" s="104" t="n"/>
      <c r="H70" s="104" t="n"/>
      <c r="I70" s="104" t="n"/>
      <c r="J70" s="104" t="n"/>
      <c r="K70" s="104" t="n"/>
      <c r="L70" s="104" t="n"/>
    </row>
    <row r="71">
      <c r="A71" s="98" t="inlineStr">
        <is>
          <t>Person</t>
        </is>
      </c>
      <c r="B71" s="98" t="inlineStr">
        <is>
          <t>Cost</t>
        </is>
      </c>
      <c r="C71" s="98" t="inlineStr">
        <is>
          <t>Sell</t>
        </is>
      </c>
      <c r="D71" s="98" t="inlineStr">
        <is>
          <t>Margin</t>
        </is>
      </c>
      <c r="E71" s="98" t="inlineStr">
        <is>
          <t>%</t>
        </is>
      </c>
      <c r="F71" s="98" t="inlineStr">
        <is>
          <t>#Items</t>
        </is>
      </c>
    </row>
    <row r="72">
      <c r="A72" s="108" t="inlineStr">
        <is>
          <t>참가자1</t>
        </is>
      </c>
      <c r="B72" s="131">
        <f>SUMPRODUCT((F15:F19="✓")*1,B15:B19,C15:C19)+SUMPRODUCT((F23:F25="✓")*1,B23:B25,C23:C25)+SUMPRODUCT((F29:F31="✓")*1,B29:B31,C29:C31)+SUMPRODUCT((F35:F39="✓")*1,B35:B39,C35:C39)+SUMPRODUCT((F43:F45="✓")*1,B43:B45,C43:C45)+SUMPRODUCT((F49:F57="✓")*1,B49:B57,C49:C57)</f>
        <v/>
      </c>
      <c r="C72" s="131">
        <f>SUMPRODUCT((F15:F19="✓")*1,B15:B19,D15:D19)+SUMPRODUCT((F23:F25="✓")*1,B23:B25,D23:D25)+SUMPRODUCT((F29:F31="✓")*1,B29:B31,D29:D31)+SUMPRODUCT((F35:F39="✓")*1,B35:B39,D35:D39)+SUMPRODUCT((F43:F45="✓")*1,B43:B45,D43:D45)+SUMPRODUCT((F49:F57="✓")*1,B49:B57,D49:D57)</f>
        <v/>
      </c>
      <c r="D72" s="110">
        <f>C72-B72</f>
        <v/>
      </c>
      <c r="E72" s="132">
        <f>IF(C72&gt;0,D72/C72,0)</f>
        <v/>
      </c>
      <c r="F72" s="139">
        <f>COUNTIF(F15:F19,"✓")+COUNTIF(F23:F25,"✓")+COUNTIF(F29:F31,"✓")+COUNTIF(F35:F39,"✓")+COUNTIF(F43:F45,"✓")+COUNTIF(F49:F57,"✓")</f>
        <v/>
      </c>
    </row>
    <row r="73">
      <c r="A73" s="108" t="inlineStr">
        <is>
          <t>참가자2</t>
        </is>
      </c>
      <c r="B73" s="131">
        <f>SUMPRODUCT((G15:G19="✓")*1,B15:B19,C15:C19)+SUMPRODUCT((G23:G25="✓")*1,B23:B25,C23:C25)+SUMPRODUCT((G29:G31="✓")*1,B29:B31,C29:C31)+SUMPRODUCT((G35:G39="✓")*1,B35:B39,C35:C39)+SUMPRODUCT((G43:G45="✓")*1,B43:B45,C43:C45)+SUMPRODUCT((G49:G57="✓")*1,B49:B57,C49:C57)</f>
        <v/>
      </c>
      <c r="C73" s="131">
        <f>SUMPRODUCT((G15:G19="✓")*1,B15:B19,D15:D19)+SUMPRODUCT((G23:G25="✓")*1,B23:B25,D23:D25)+SUMPRODUCT((G29:G31="✓")*1,B29:B31,D29:D31)+SUMPRODUCT((G35:G39="✓")*1,B35:B39,D35:D39)+SUMPRODUCT((G43:G45="✓")*1,B43:B45,D43:D45)+SUMPRODUCT((G49:G57="✓")*1,B49:B57,D49:D57)</f>
        <v/>
      </c>
      <c r="D73" s="110">
        <f>C73-B73</f>
        <v/>
      </c>
      <c r="E73" s="132">
        <f>IF(C73&gt;0,D73/C73,0)</f>
        <v/>
      </c>
      <c r="F73" s="139">
        <f>COUNTIF(G15:G19,"✓")+COUNTIF(G23:G25,"✓")+COUNTIF(G29:G31,"✓")+COUNTIF(G35:G39,"✓")+COUNTIF(G43:G45,"✓")+COUNTIF(G49:G57,"✓")</f>
        <v/>
      </c>
    </row>
    <row r="74">
      <c r="A74" s="108" t="inlineStr">
        <is>
          <t>참가자3</t>
        </is>
      </c>
      <c r="B74" s="131">
        <f>SUMPRODUCT((H15:H19="✓")*1,B15:B19,C15:C19)+SUMPRODUCT((H23:H25="✓")*1,B23:B25,C23:C25)+SUMPRODUCT((H29:H31="✓")*1,B29:B31,C29:C31)+SUMPRODUCT((H35:H39="✓")*1,B35:B39,C35:C39)+SUMPRODUCT((H43:H45="✓")*1,B43:B45,C43:C45)+SUMPRODUCT((H49:H57="✓")*1,B49:B57,C49:C57)</f>
        <v/>
      </c>
      <c r="C74" s="131">
        <f>SUMPRODUCT((H15:H19="✓")*1,B15:B19,D15:D19)+SUMPRODUCT((H23:H25="✓")*1,B23:B25,D23:D25)+SUMPRODUCT((H29:H31="✓")*1,B29:B31,D29:D31)+SUMPRODUCT((H35:H39="✓")*1,B35:B39,D35:D39)+SUMPRODUCT((H43:H45="✓")*1,B43:B45,D43:D45)+SUMPRODUCT((H49:H57="✓")*1,B49:B57,D49:D57)</f>
        <v/>
      </c>
      <c r="D74" s="110">
        <f>C74-B74</f>
        <v/>
      </c>
      <c r="E74" s="132">
        <f>IF(C74&gt;0,D74/C74,0)</f>
        <v/>
      </c>
      <c r="F74" s="139">
        <f>COUNTIF(H15:H19,"✓")+COUNTIF(H23:H25,"✓")+COUNTIF(H29:H31,"✓")+COUNTIF(H35:H39,"✓")+COUNTIF(H43:H45,"✓")+COUNTIF(H49:H57,"✓")</f>
        <v/>
      </c>
    </row>
    <row r="75">
      <c r="A75" s="108" t="inlineStr">
        <is>
          <t>참가자4</t>
        </is>
      </c>
      <c r="B75" s="131">
        <f>SUMPRODUCT((I15:I19="✓")*1,B15:B19,C15:C19)+SUMPRODUCT((I23:I25="✓")*1,B23:B25,C23:C25)+SUMPRODUCT((I29:I31="✓")*1,B29:B31,C29:C31)+SUMPRODUCT((I35:I39="✓")*1,B35:B39,C35:C39)+SUMPRODUCT((I43:I45="✓")*1,B43:B45,C43:C45)+SUMPRODUCT((I49:I57="✓")*1,B49:B57,C49:C57)</f>
        <v/>
      </c>
      <c r="C75" s="131">
        <f>SUMPRODUCT((I15:I19="✓")*1,B15:B19,D15:D19)+SUMPRODUCT((I23:I25="✓")*1,B23:B25,D23:D25)+SUMPRODUCT((I29:I31="✓")*1,B29:B31,D29:D31)+SUMPRODUCT((I35:I39="✓")*1,B35:B39,D35:D39)+SUMPRODUCT((I43:I45="✓")*1,B43:B45,D43:D45)+SUMPRODUCT((I49:I57="✓")*1,B49:B57,D49:D57)</f>
        <v/>
      </c>
      <c r="D75" s="110">
        <f>C75-B75</f>
        <v/>
      </c>
      <c r="E75" s="132">
        <f>IF(C75&gt;0,D75/C75,0)</f>
        <v/>
      </c>
      <c r="F75" s="139">
        <f>COUNTIF(I15:I19,"✓")+COUNTIF(I23:I25,"✓")+COUNTIF(I29:I31,"✓")+COUNTIF(I35:I39,"✓")+COUNTIF(I43:I45,"✓")+COUNTIF(I49:I57,"✓")</f>
        <v/>
      </c>
    </row>
    <row r="76">
      <c r="A76" s="115" t="inlineStr">
        <is>
          <t>📌 TOTAL</t>
        </is>
      </c>
      <c r="B76" s="88">
        <f>SUM(B72:B75)</f>
        <v/>
      </c>
      <c r="C76" s="88">
        <f>SUM(C72:C75)</f>
        <v/>
      </c>
      <c r="D76" s="88">
        <f>SUM(D72:D75)</f>
        <v/>
      </c>
      <c r="E76" s="91">
        <f>IF(C76&gt;0,D76/C76,0)</f>
        <v/>
      </c>
    </row>
  </sheetData>
  <mergeCells count="12">
    <mergeCell ref="A2:L2"/>
    <mergeCell ref="A42:L42"/>
    <mergeCell ref="A1:L1"/>
    <mergeCell ref="A28:L28"/>
    <mergeCell ref="A34:L34"/>
    <mergeCell ref="A14:L14"/>
    <mergeCell ref="A61:L61"/>
    <mergeCell ref="A6:L6"/>
    <mergeCell ref="A22:L22"/>
    <mergeCell ref="A70:L70"/>
    <mergeCell ref="B4:C4"/>
    <mergeCell ref="A48:L48"/>
  </mergeCells>
  <conditionalFormatting sqref="F15">
    <cfRule type="cellIs" priority="1" operator="equal" dxfId="4">
      <formula>"✓"</formula>
    </cfRule>
  </conditionalFormatting>
  <conditionalFormatting sqref="G15">
    <cfRule type="cellIs" priority="2" operator="equal" dxfId="4">
      <formula>"✓"</formula>
    </cfRule>
  </conditionalFormatting>
  <conditionalFormatting sqref="H15">
    <cfRule type="cellIs" priority="3" operator="equal" dxfId="4">
      <formula>"✓"</formula>
    </cfRule>
  </conditionalFormatting>
  <conditionalFormatting sqref="I15">
    <cfRule type="cellIs" priority="4" operator="equal" dxfId="4">
      <formula>"✓"</formula>
    </cfRule>
  </conditionalFormatting>
  <conditionalFormatting sqref="Q15">
    <cfRule type="cellIs" priority="5" operator="greaterThan" dxfId="3">
      <formula>0</formula>
    </cfRule>
  </conditionalFormatting>
  <conditionalFormatting sqref="F16">
    <cfRule type="cellIs" priority="6" operator="equal" dxfId="4">
      <formula>"✓"</formula>
    </cfRule>
  </conditionalFormatting>
  <conditionalFormatting sqref="G16">
    <cfRule type="cellIs" priority="7" operator="equal" dxfId="4">
      <formula>"✓"</formula>
    </cfRule>
  </conditionalFormatting>
  <conditionalFormatting sqref="H16">
    <cfRule type="cellIs" priority="8" operator="equal" dxfId="4">
      <formula>"✓"</formula>
    </cfRule>
  </conditionalFormatting>
  <conditionalFormatting sqref="I16">
    <cfRule type="cellIs" priority="9" operator="equal" dxfId="4">
      <formula>"✓"</formula>
    </cfRule>
  </conditionalFormatting>
  <conditionalFormatting sqref="Q16">
    <cfRule type="cellIs" priority="10" operator="greaterThan" dxfId="3">
      <formula>0</formula>
    </cfRule>
  </conditionalFormatting>
  <conditionalFormatting sqref="F17">
    <cfRule type="cellIs" priority="11" operator="equal" dxfId="4">
      <formula>"✓"</formula>
    </cfRule>
  </conditionalFormatting>
  <conditionalFormatting sqref="G17">
    <cfRule type="cellIs" priority="12" operator="equal" dxfId="4">
      <formula>"✓"</formula>
    </cfRule>
  </conditionalFormatting>
  <conditionalFormatting sqref="H17">
    <cfRule type="cellIs" priority="13" operator="equal" dxfId="4">
      <formula>"✓"</formula>
    </cfRule>
  </conditionalFormatting>
  <conditionalFormatting sqref="I17">
    <cfRule type="cellIs" priority="14" operator="equal" dxfId="4">
      <formula>"✓"</formula>
    </cfRule>
  </conditionalFormatting>
  <conditionalFormatting sqref="Q17">
    <cfRule type="cellIs" priority="15" operator="greaterThan" dxfId="3">
      <formula>0</formula>
    </cfRule>
  </conditionalFormatting>
  <conditionalFormatting sqref="F18">
    <cfRule type="cellIs" priority="16" operator="equal" dxfId="4">
      <formula>"✓"</formula>
    </cfRule>
  </conditionalFormatting>
  <conditionalFormatting sqref="G18">
    <cfRule type="cellIs" priority="17" operator="equal" dxfId="4">
      <formula>"✓"</formula>
    </cfRule>
  </conditionalFormatting>
  <conditionalFormatting sqref="H18">
    <cfRule type="cellIs" priority="18" operator="equal" dxfId="4">
      <formula>"✓"</formula>
    </cfRule>
  </conditionalFormatting>
  <conditionalFormatting sqref="I18">
    <cfRule type="cellIs" priority="19" operator="equal" dxfId="4">
      <formula>"✓"</formula>
    </cfRule>
  </conditionalFormatting>
  <conditionalFormatting sqref="Q18">
    <cfRule type="cellIs" priority="20" operator="greaterThan" dxfId="3">
      <formula>0</formula>
    </cfRule>
  </conditionalFormatting>
  <conditionalFormatting sqref="F19">
    <cfRule type="cellIs" priority="21" operator="equal" dxfId="4">
      <formula>"✓"</formula>
    </cfRule>
  </conditionalFormatting>
  <conditionalFormatting sqref="G19">
    <cfRule type="cellIs" priority="22" operator="equal" dxfId="4">
      <formula>"✓"</formula>
    </cfRule>
  </conditionalFormatting>
  <conditionalFormatting sqref="H19">
    <cfRule type="cellIs" priority="23" operator="equal" dxfId="4">
      <formula>"✓"</formula>
    </cfRule>
  </conditionalFormatting>
  <conditionalFormatting sqref="I19">
    <cfRule type="cellIs" priority="24" operator="equal" dxfId="4">
      <formula>"✓"</formula>
    </cfRule>
  </conditionalFormatting>
  <conditionalFormatting sqref="Q19">
    <cfRule type="cellIs" priority="25" operator="greaterThan" dxfId="3">
      <formula>0</formula>
    </cfRule>
  </conditionalFormatting>
  <conditionalFormatting sqref="F23">
    <cfRule type="cellIs" priority="26" operator="equal" dxfId="4">
      <formula>"✓"</formula>
    </cfRule>
  </conditionalFormatting>
  <conditionalFormatting sqref="G23">
    <cfRule type="cellIs" priority="27" operator="equal" dxfId="4">
      <formula>"✓"</formula>
    </cfRule>
  </conditionalFormatting>
  <conditionalFormatting sqref="H23">
    <cfRule type="cellIs" priority="28" operator="equal" dxfId="4">
      <formula>"✓"</formula>
    </cfRule>
  </conditionalFormatting>
  <conditionalFormatting sqref="I23">
    <cfRule type="cellIs" priority="29" operator="equal" dxfId="4">
      <formula>"✓"</formula>
    </cfRule>
  </conditionalFormatting>
  <conditionalFormatting sqref="Q23">
    <cfRule type="cellIs" priority="30" operator="greaterThan" dxfId="3">
      <formula>0</formula>
    </cfRule>
  </conditionalFormatting>
  <conditionalFormatting sqref="F24">
    <cfRule type="cellIs" priority="31" operator="equal" dxfId="4">
      <formula>"✓"</formula>
    </cfRule>
  </conditionalFormatting>
  <conditionalFormatting sqref="G24">
    <cfRule type="cellIs" priority="32" operator="equal" dxfId="4">
      <formula>"✓"</formula>
    </cfRule>
  </conditionalFormatting>
  <conditionalFormatting sqref="H24">
    <cfRule type="cellIs" priority="33" operator="equal" dxfId="4">
      <formula>"✓"</formula>
    </cfRule>
  </conditionalFormatting>
  <conditionalFormatting sqref="I24">
    <cfRule type="cellIs" priority="34" operator="equal" dxfId="4">
      <formula>"✓"</formula>
    </cfRule>
  </conditionalFormatting>
  <conditionalFormatting sqref="Q24">
    <cfRule type="cellIs" priority="35" operator="greaterThan" dxfId="3">
      <formula>0</formula>
    </cfRule>
  </conditionalFormatting>
  <conditionalFormatting sqref="F25">
    <cfRule type="cellIs" priority="36" operator="equal" dxfId="4">
      <formula>"✓"</formula>
    </cfRule>
  </conditionalFormatting>
  <conditionalFormatting sqref="G25">
    <cfRule type="cellIs" priority="37" operator="equal" dxfId="4">
      <formula>"✓"</formula>
    </cfRule>
  </conditionalFormatting>
  <conditionalFormatting sqref="H25">
    <cfRule type="cellIs" priority="38" operator="equal" dxfId="4">
      <formula>"✓"</formula>
    </cfRule>
  </conditionalFormatting>
  <conditionalFormatting sqref="I25">
    <cfRule type="cellIs" priority="39" operator="equal" dxfId="4">
      <formula>"✓"</formula>
    </cfRule>
  </conditionalFormatting>
  <conditionalFormatting sqref="Q25">
    <cfRule type="cellIs" priority="40" operator="greaterThan" dxfId="3">
      <formula>0</formula>
    </cfRule>
  </conditionalFormatting>
  <conditionalFormatting sqref="F29">
    <cfRule type="cellIs" priority="41" operator="equal" dxfId="4">
      <formula>"✓"</formula>
    </cfRule>
  </conditionalFormatting>
  <conditionalFormatting sqref="G29">
    <cfRule type="cellIs" priority="42" operator="equal" dxfId="4">
      <formula>"✓"</formula>
    </cfRule>
  </conditionalFormatting>
  <conditionalFormatting sqref="H29">
    <cfRule type="cellIs" priority="43" operator="equal" dxfId="4">
      <formula>"✓"</formula>
    </cfRule>
  </conditionalFormatting>
  <conditionalFormatting sqref="I29">
    <cfRule type="cellIs" priority="44" operator="equal" dxfId="4">
      <formula>"✓"</formula>
    </cfRule>
  </conditionalFormatting>
  <conditionalFormatting sqref="Q29">
    <cfRule type="cellIs" priority="45" operator="greaterThan" dxfId="3">
      <formula>0</formula>
    </cfRule>
  </conditionalFormatting>
  <conditionalFormatting sqref="F30">
    <cfRule type="cellIs" priority="46" operator="equal" dxfId="4">
      <formula>"✓"</formula>
    </cfRule>
  </conditionalFormatting>
  <conditionalFormatting sqref="G30">
    <cfRule type="cellIs" priority="47" operator="equal" dxfId="4">
      <formula>"✓"</formula>
    </cfRule>
  </conditionalFormatting>
  <conditionalFormatting sqref="H30">
    <cfRule type="cellIs" priority="48" operator="equal" dxfId="4">
      <formula>"✓"</formula>
    </cfRule>
  </conditionalFormatting>
  <conditionalFormatting sqref="I30">
    <cfRule type="cellIs" priority="49" operator="equal" dxfId="4">
      <formula>"✓"</formula>
    </cfRule>
  </conditionalFormatting>
  <conditionalFormatting sqref="Q30">
    <cfRule type="cellIs" priority="50" operator="greaterThan" dxfId="3">
      <formula>0</formula>
    </cfRule>
  </conditionalFormatting>
  <conditionalFormatting sqref="F31">
    <cfRule type="cellIs" priority="51" operator="equal" dxfId="4">
      <formula>"✓"</formula>
    </cfRule>
  </conditionalFormatting>
  <conditionalFormatting sqref="G31">
    <cfRule type="cellIs" priority="52" operator="equal" dxfId="4">
      <formula>"✓"</formula>
    </cfRule>
  </conditionalFormatting>
  <conditionalFormatting sqref="H31">
    <cfRule type="cellIs" priority="53" operator="equal" dxfId="4">
      <formula>"✓"</formula>
    </cfRule>
  </conditionalFormatting>
  <conditionalFormatting sqref="I31">
    <cfRule type="cellIs" priority="54" operator="equal" dxfId="4">
      <formula>"✓"</formula>
    </cfRule>
  </conditionalFormatting>
  <conditionalFormatting sqref="Q31">
    <cfRule type="cellIs" priority="55" operator="greaterThan" dxfId="3">
      <formula>0</formula>
    </cfRule>
  </conditionalFormatting>
  <conditionalFormatting sqref="F35">
    <cfRule type="cellIs" priority="56" operator="equal" dxfId="4">
      <formula>"✓"</formula>
    </cfRule>
  </conditionalFormatting>
  <conditionalFormatting sqref="G35">
    <cfRule type="cellIs" priority="57" operator="equal" dxfId="4">
      <formula>"✓"</formula>
    </cfRule>
  </conditionalFormatting>
  <conditionalFormatting sqref="H35">
    <cfRule type="cellIs" priority="58" operator="equal" dxfId="4">
      <formula>"✓"</formula>
    </cfRule>
  </conditionalFormatting>
  <conditionalFormatting sqref="I35">
    <cfRule type="cellIs" priority="59" operator="equal" dxfId="4">
      <formula>"✓"</formula>
    </cfRule>
  </conditionalFormatting>
  <conditionalFormatting sqref="Q35">
    <cfRule type="cellIs" priority="60" operator="greaterThan" dxfId="3">
      <formula>0</formula>
    </cfRule>
  </conditionalFormatting>
  <conditionalFormatting sqref="F36">
    <cfRule type="cellIs" priority="61" operator="equal" dxfId="4">
      <formula>"✓"</formula>
    </cfRule>
  </conditionalFormatting>
  <conditionalFormatting sqref="G36">
    <cfRule type="cellIs" priority="62" operator="equal" dxfId="4">
      <formula>"✓"</formula>
    </cfRule>
  </conditionalFormatting>
  <conditionalFormatting sqref="H36">
    <cfRule type="cellIs" priority="63" operator="equal" dxfId="4">
      <formula>"✓"</formula>
    </cfRule>
  </conditionalFormatting>
  <conditionalFormatting sqref="I36">
    <cfRule type="cellIs" priority="64" operator="equal" dxfId="4">
      <formula>"✓"</formula>
    </cfRule>
  </conditionalFormatting>
  <conditionalFormatting sqref="Q36">
    <cfRule type="cellIs" priority="65" operator="greaterThan" dxfId="3">
      <formula>0</formula>
    </cfRule>
  </conditionalFormatting>
  <conditionalFormatting sqref="F37">
    <cfRule type="cellIs" priority="66" operator="equal" dxfId="4">
      <formula>"✓"</formula>
    </cfRule>
  </conditionalFormatting>
  <conditionalFormatting sqref="G37">
    <cfRule type="cellIs" priority="67" operator="equal" dxfId="4">
      <formula>"✓"</formula>
    </cfRule>
  </conditionalFormatting>
  <conditionalFormatting sqref="H37">
    <cfRule type="cellIs" priority="68" operator="equal" dxfId="4">
      <formula>"✓"</formula>
    </cfRule>
  </conditionalFormatting>
  <conditionalFormatting sqref="I37">
    <cfRule type="cellIs" priority="69" operator="equal" dxfId="4">
      <formula>"✓"</formula>
    </cfRule>
  </conditionalFormatting>
  <conditionalFormatting sqref="Q37">
    <cfRule type="cellIs" priority="70" operator="greaterThan" dxfId="3">
      <formula>0</formula>
    </cfRule>
  </conditionalFormatting>
  <conditionalFormatting sqref="F38">
    <cfRule type="cellIs" priority="71" operator="equal" dxfId="4">
      <formula>"✓"</formula>
    </cfRule>
  </conditionalFormatting>
  <conditionalFormatting sqref="G38">
    <cfRule type="cellIs" priority="72" operator="equal" dxfId="4">
      <formula>"✓"</formula>
    </cfRule>
  </conditionalFormatting>
  <conditionalFormatting sqref="H38">
    <cfRule type="cellIs" priority="73" operator="equal" dxfId="4">
      <formula>"✓"</formula>
    </cfRule>
  </conditionalFormatting>
  <conditionalFormatting sqref="I38">
    <cfRule type="cellIs" priority="74" operator="equal" dxfId="4">
      <formula>"✓"</formula>
    </cfRule>
  </conditionalFormatting>
  <conditionalFormatting sqref="Q38">
    <cfRule type="cellIs" priority="75" operator="greaterThan" dxfId="3">
      <formula>0</formula>
    </cfRule>
  </conditionalFormatting>
  <conditionalFormatting sqref="F39">
    <cfRule type="cellIs" priority="76" operator="equal" dxfId="4">
      <formula>"✓"</formula>
    </cfRule>
  </conditionalFormatting>
  <conditionalFormatting sqref="G39">
    <cfRule type="cellIs" priority="77" operator="equal" dxfId="4">
      <formula>"✓"</formula>
    </cfRule>
  </conditionalFormatting>
  <conditionalFormatting sqref="H39">
    <cfRule type="cellIs" priority="78" operator="equal" dxfId="4">
      <formula>"✓"</formula>
    </cfRule>
  </conditionalFormatting>
  <conditionalFormatting sqref="I39">
    <cfRule type="cellIs" priority="79" operator="equal" dxfId="4">
      <formula>"✓"</formula>
    </cfRule>
  </conditionalFormatting>
  <conditionalFormatting sqref="Q39">
    <cfRule type="cellIs" priority="80" operator="greaterThan" dxfId="3">
      <formula>0</formula>
    </cfRule>
  </conditionalFormatting>
  <conditionalFormatting sqref="F43">
    <cfRule type="cellIs" priority="81" operator="equal" dxfId="4">
      <formula>"✓"</formula>
    </cfRule>
  </conditionalFormatting>
  <conditionalFormatting sqref="G43">
    <cfRule type="cellIs" priority="82" operator="equal" dxfId="4">
      <formula>"✓"</formula>
    </cfRule>
  </conditionalFormatting>
  <conditionalFormatting sqref="H43">
    <cfRule type="cellIs" priority="83" operator="equal" dxfId="4">
      <formula>"✓"</formula>
    </cfRule>
  </conditionalFormatting>
  <conditionalFormatting sqref="I43">
    <cfRule type="cellIs" priority="84" operator="equal" dxfId="4">
      <formula>"✓"</formula>
    </cfRule>
  </conditionalFormatting>
  <conditionalFormatting sqref="Q43">
    <cfRule type="cellIs" priority="85" operator="greaterThan" dxfId="3">
      <formula>0</formula>
    </cfRule>
  </conditionalFormatting>
  <conditionalFormatting sqref="F44">
    <cfRule type="cellIs" priority="86" operator="equal" dxfId="4">
      <formula>"✓"</formula>
    </cfRule>
  </conditionalFormatting>
  <conditionalFormatting sqref="G44">
    <cfRule type="cellIs" priority="87" operator="equal" dxfId="4">
      <formula>"✓"</formula>
    </cfRule>
  </conditionalFormatting>
  <conditionalFormatting sqref="H44">
    <cfRule type="cellIs" priority="88" operator="equal" dxfId="4">
      <formula>"✓"</formula>
    </cfRule>
  </conditionalFormatting>
  <conditionalFormatting sqref="I44">
    <cfRule type="cellIs" priority="89" operator="equal" dxfId="4">
      <formula>"✓"</formula>
    </cfRule>
  </conditionalFormatting>
  <conditionalFormatting sqref="Q44">
    <cfRule type="cellIs" priority="90" operator="greaterThan" dxfId="3">
      <formula>0</formula>
    </cfRule>
  </conditionalFormatting>
  <conditionalFormatting sqref="F45">
    <cfRule type="cellIs" priority="91" operator="equal" dxfId="4">
      <formula>"✓"</formula>
    </cfRule>
  </conditionalFormatting>
  <conditionalFormatting sqref="G45">
    <cfRule type="cellIs" priority="92" operator="equal" dxfId="4">
      <formula>"✓"</formula>
    </cfRule>
  </conditionalFormatting>
  <conditionalFormatting sqref="H45">
    <cfRule type="cellIs" priority="93" operator="equal" dxfId="4">
      <formula>"✓"</formula>
    </cfRule>
  </conditionalFormatting>
  <conditionalFormatting sqref="I45">
    <cfRule type="cellIs" priority="94" operator="equal" dxfId="4">
      <formula>"✓"</formula>
    </cfRule>
  </conditionalFormatting>
  <conditionalFormatting sqref="Q45">
    <cfRule type="cellIs" priority="95" operator="greaterThan" dxfId="3">
      <formula>0</formula>
    </cfRule>
  </conditionalFormatting>
  <conditionalFormatting sqref="F49">
    <cfRule type="cellIs" priority="96" operator="equal" dxfId="4">
      <formula>"✓"</formula>
    </cfRule>
  </conditionalFormatting>
  <conditionalFormatting sqref="G49">
    <cfRule type="cellIs" priority="97" operator="equal" dxfId="4">
      <formula>"✓"</formula>
    </cfRule>
  </conditionalFormatting>
  <conditionalFormatting sqref="H49">
    <cfRule type="cellIs" priority="98" operator="equal" dxfId="4">
      <formula>"✓"</formula>
    </cfRule>
  </conditionalFormatting>
  <conditionalFormatting sqref="I49">
    <cfRule type="cellIs" priority="99" operator="equal" dxfId="4">
      <formula>"✓"</formula>
    </cfRule>
  </conditionalFormatting>
  <conditionalFormatting sqref="Q49">
    <cfRule type="cellIs" priority="100" operator="greaterThan" dxfId="3">
      <formula>0</formula>
    </cfRule>
  </conditionalFormatting>
  <conditionalFormatting sqref="F50">
    <cfRule type="cellIs" priority="101" operator="equal" dxfId="4">
      <formula>"✓"</formula>
    </cfRule>
  </conditionalFormatting>
  <conditionalFormatting sqref="G50">
    <cfRule type="cellIs" priority="102" operator="equal" dxfId="4">
      <formula>"✓"</formula>
    </cfRule>
  </conditionalFormatting>
  <conditionalFormatting sqref="H50">
    <cfRule type="cellIs" priority="103" operator="equal" dxfId="4">
      <formula>"✓"</formula>
    </cfRule>
  </conditionalFormatting>
  <conditionalFormatting sqref="I50">
    <cfRule type="cellIs" priority="104" operator="equal" dxfId="4">
      <formula>"✓"</formula>
    </cfRule>
  </conditionalFormatting>
  <conditionalFormatting sqref="Q50">
    <cfRule type="cellIs" priority="105" operator="greaterThan" dxfId="3">
      <formula>0</formula>
    </cfRule>
  </conditionalFormatting>
  <conditionalFormatting sqref="F51">
    <cfRule type="cellIs" priority="106" operator="equal" dxfId="4">
      <formula>"✓"</formula>
    </cfRule>
  </conditionalFormatting>
  <conditionalFormatting sqref="G51">
    <cfRule type="cellIs" priority="107" operator="equal" dxfId="4">
      <formula>"✓"</formula>
    </cfRule>
  </conditionalFormatting>
  <conditionalFormatting sqref="H51">
    <cfRule type="cellIs" priority="108" operator="equal" dxfId="4">
      <formula>"✓"</formula>
    </cfRule>
  </conditionalFormatting>
  <conditionalFormatting sqref="I51">
    <cfRule type="cellIs" priority="109" operator="equal" dxfId="4">
      <formula>"✓"</formula>
    </cfRule>
  </conditionalFormatting>
  <conditionalFormatting sqref="Q51">
    <cfRule type="cellIs" priority="110" operator="greaterThan" dxfId="3">
      <formula>0</formula>
    </cfRule>
  </conditionalFormatting>
  <conditionalFormatting sqref="F52">
    <cfRule type="cellIs" priority="111" operator="equal" dxfId="4">
      <formula>"✓"</formula>
    </cfRule>
  </conditionalFormatting>
  <conditionalFormatting sqref="G52">
    <cfRule type="cellIs" priority="112" operator="equal" dxfId="4">
      <formula>"✓"</formula>
    </cfRule>
  </conditionalFormatting>
  <conditionalFormatting sqref="H52">
    <cfRule type="cellIs" priority="113" operator="equal" dxfId="4">
      <formula>"✓"</formula>
    </cfRule>
  </conditionalFormatting>
  <conditionalFormatting sqref="I52">
    <cfRule type="cellIs" priority="114" operator="equal" dxfId="4">
      <formula>"✓"</formula>
    </cfRule>
  </conditionalFormatting>
  <conditionalFormatting sqref="Q52">
    <cfRule type="cellIs" priority="115" operator="greaterThan" dxfId="3">
      <formula>0</formula>
    </cfRule>
  </conditionalFormatting>
  <conditionalFormatting sqref="F53">
    <cfRule type="cellIs" priority="116" operator="equal" dxfId="4">
      <formula>"✓"</formula>
    </cfRule>
  </conditionalFormatting>
  <conditionalFormatting sqref="G53">
    <cfRule type="cellIs" priority="117" operator="equal" dxfId="4">
      <formula>"✓"</formula>
    </cfRule>
  </conditionalFormatting>
  <conditionalFormatting sqref="H53">
    <cfRule type="cellIs" priority="118" operator="equal" dxfId="4">
      <formula>"✓"</formula>
    </cfRule>
  </conditionalFormatting>
  <conditionalFormatting sqref="I53">
    <cfRule type="cellIs" priority="119" operator="equal" dxfId="4">
      <formula>"✓"</formula>
    </cfRule>
  </conditionalFormatting>
  <conditionalFormatting sqref="Q53">
    <cfRule type="cellIs" priority="120" operator="greaterThan" dxfId="3">
      <formula>0</formula>
    </cfRule>
  </conditionalFormatting>
  <conditionalFormatting sqref="F54">
    <cfRule type="cellIs" priority="121" operator="equal" dxfId="4">
      <formula>"✓"</formula>
    </cfRule>
  </conditionalFormatting>
  <conditionalFormatting sqref="G54">
    <cfRule type="cellIs" priority="122" operator="equal" dxfId="4">
      <formula>"✓"</formula>
    </cfRule>
  </conditionalFormatting>
  <conditionalFormatting sqref="H54">
    <cfRule type="cellIs" priority="123" operator="equal" dxfId="4">
      <formula>"✓"</formula>
    </cfRule>
  </conditionalFormatting>
  <conditionalFormatting sqref="I54">
    <cfRule type="cellIs" priority="124" operator="equal" dxfId="4">
      <formula>"✓"</formula>
    </cfRule>
  </conditionalFormatting>
  <conditionalFormatting sqref="Q54">
    <cfRule type="cellIs" priority="125" operator="greaterThan" dxfId="3">
      <formula>0</formula>
    </cfRule>
  </conditionalFormatting>
  <conditionalFormatting sqref="F55">
    <cfRule type="cellIs" priority="126" operator="equal" dxfId="4">
      <formula>"✓"</formula>
    </cfRule>
  </conditionalFormatting>
  <conditionalFormatting sqref="G55">
    <cfRule type="cellIs" priority="127" operator="equal" dxfId="4">
      <formula>"✓"</formula>
    </cfRule>
  </conditionalFormatting>
  <conditionalFormatting sqref="H55">
    <cfRule type="cellIs" priority="128" operator="equal" dxfId="4">
      <formula>"✓"</formula>
    </cfRule>
  </conditionalFormatting>
  <conditionalFormatting sqref="I55">
    <cfRule type="cellIs" priority="129" operator="equal" dxfId="4">
      <formula>"✓"</formula>
    </cfRule>
  </conditionalFormatting>
  <conditionalFormatting sqref="Q55">
    <cfRule type="cellIs" priority="130" operator="greaterThan" dxfId="3">
      <formula>0</formula>
    </cfRule>
  </conditionalFormatting>
  <conditionalFormatting sqref="F56">
    <cfRule type="cellIs" priority="131" operator="equal" dxfId="4">
      <formula>"✓"</formula>
    </cfRule>
  </conditionalFormatting>
  <conditionalFormatting sqref="G56">
    <cfRule type="cellIs" priority="132" operator="equal" dxfId="4">
      <formula>"✓"</formula>
    </cfRule>
  </conditionalFormatting>
  <conditionalFormatting sqref="H56">
    <cfRule type="cellIs" priority="133" operator="equal" dxfId="4">
      <formula>"✓"</formula>
    </cfRule>
  </conditionalFormatting>
  <conditionalFormatting sqref="I56">
    <cfRule type="cellIs" priority="134" operator="equal" dxfId="4">
      <formula>"✓"</formula>
    </cfRule>
  </conditionalFormatting>
  <conditionalFormatting sqref="Q56">
    <cfRule type="cellIs" priority="135" operator="greaterThan" dxfId="3">
      <formula>0</formula>
    </cfRule>
  </conditionalFormatting>
  <conditionalFormatting sqref="F57">
    <cfRule type="cellIs" priority="136" operator="equal" dxfId="4">
      <formula>"✓"</formula>
    </cfRule>
  </conditionalFormatting>
  <conditionalFormatting sqref="G57">
    <cfRule type="cellIs" priority="137" operator="equal" dxfId="4">
      <formula>"✓"</formula>
    </cfRule>
  </conditionalFormatting>
  <conditionalFormatting sqref="H57">
    <cfRule type="cellIs" priority="138" operator="equal" dxfId="4">
      <formula>"✓"</formula>
    </cfRule>
  </conditionalFormatting>
  <conditionalFormatting sqref="I57">
    <cfRule type="cellIs" priority="139" operator="equal" dxfId="4">
      <formula>"✓"</formula>
    </cfRule>
  </conditionalFormatting>
  <conditionalFormatting sqref="Q57">
    <cfRule type="cellIs" priority="140" operator="greaterThan" dxfId="3">
      <formula>0</formula>
    </cfRule>
  </conditionalFormatting>
  <conditionalFormatting sqref="E12">
    <cfRule type="cellIs" priority="141" operator="notEqual" dxfId="3">
      <formula>0</formula>
    </cfRule>
  </conditionalFormatting>
  <dataValidations count="11">
    <dataValidation sqref="E4" showDropDown="0" showInputMessage="0" showErrorMessage="0" allowBlank="0" type="list">
      <formula1>"2,4,6,8"</formula1>
    </dataValidation>
    <dataValidation sqref="E7" showDropDown="0" showInputMessage="0" showErrorMessage="0" allowBlank="0" type="list">
      <formula1>'Master Data'!$A$60:$A$63</formula1>
    </dataValidation>
    <dataValidation sqref="E8" showDropDown="0" showInputMessage="0" showErrorMessage="0" allowBlank="0" type="list">
      <formula1>'Master Data'!$A$74:$A$77</formula1>
    </dataValidation>
    <dataValidation sqref="K7 K8" showDropDown="0" showInputMessage="0" showErrorMessage="0" allowBlank="0" type="list">
      <formula1>"First, Business, Premium Economy, Economy"</formula1>
    </dataValidation>
    <dataValidation sqref="F15 F16 F17 F18 F19 F23 F24 F25 F29 F30 F31 F35 F36 F37 F38 F39 F43 F44 F45 F49 F50 F51 F52 F53 F54 F55 F56 F57 G15 G16 G17 G18 G19 G23 G24 G25 G29 G30 G31 G35 G36 G37 G38 G39 G43 G44 G45 G49 G50 G51 G52 G53 G54 G55 G56 G57 H15 H16 H17 H18 H19 H23 H24 H25 H29 H30 H31 H35 H36 H37 H38 H39 H43 H44 H45 H49 H50 H51 H52 H53 H54 H55 H56 H57 I15 I16 I17 I18 I19 I23 I24 I25 I29 I30 I31 I35 I36 I37 I38 I39 I43 I44 I45 I49 I50 I51 I52 I53 I54 I55 I56 I57 M15 M16 M17 M18 M19 M23 M24 M25 M29 M30 M31 M35 M36 M37 M38 M39 M43 M44 M45 M49 M50 M51 M52 M53 M54 M55 M56 M57 N15 N16 N17 N18 N19 N23 N24 N25 N29 N30 N31 N35 N36 N37 N38 N39 N43 N44 N45 N49 N50 N51 N52 N53 N54 N55 N56 N57 O15 O16 O17 O18 O19 O23 O24 O25 O29 O30 O31 O35 O36 O37 O38 O39 O43 O44 O45 O49 O50 O51 O52 O53 O54 O55 O56 O57 P15 P16 P17 P18 P19 P23 P24 P25 P29 P30 P31 P35 P36 P37 P38 P39 P43 P44 P45 P49 P50 P51 P52 P53 P54 P55 P56 P57" showDropDown="0" showInputMessage="0" showErrorMessage="0" allowBlank="1" type="list">
      <formula1>"✓,"</formula1>
    </dataValidation>
    <dataValidation sqref="A15 A16 A17 A18 A19" showDropDown="0" showInputMessage="0" showErrorMessage="0" allowBlank="1" type="list">
      <formula1>'Master Data'!$A$7:$A$14</formula1>
    </dataValidation>
    <dataValidation sqref="A23 A24 A25" showDropDown="0" showInputMessage="0" showErrorMessage="0" allowBlank="1" type="list">
      <formula1>'Master Data'!$A$19:$A$24</formula1>
    </dataValidation>
    <dataValidation sqref="A29 A30 A31" showDropDown="0" showInputMessage="0" showErrorMessage="0" allowBlank="1" type="list">
      <formula1>'Master Data'!$A$28:$A$34</formula1>
    </dataValidation>
    <dataValidation sqref="A35 A36 A37 A38 A39" showDropDown="0" showInputMessage="0" showErrorMessage="0" allowBlank="1" type="list">
      <formula1>'Master Data'!$A$38:$A$46</formula1>
    </dataValidation>
    <dataValidation sqref="A43 A44 A45" showDropDown="0" showInputMessage="0" showErrorMessage="0" allowBlank="1" type="list">
      <formula1>'Master Data'!$A$50:$A$56</formula1>
    </dataValidation>
    <dataValidation sqref="A49 A50 A51 A52 A53 A54 A55 A56 A57" showDropDown="0" showInputMessage="0" showErrorMessage="0" allowBlank="1" type="list">
      <formula1>'Master Data'!$A$86:$A$94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22" customWidth="1" style="42" min="1" max="1"/>
    <col width="13" customWidth="1" style="42" min="2" max="2"/>
    <col width="13" customWidth="1" style="42" min="3" max="3"/>
    <col width="13" customWidth="1" style="42" min="4" max="4"/>
    <col width="13" customWidth="1" style="42" min="5" max="5"/>
    <col width="13" customWidth="1" style="42" min="6" max="6"/>
  </cols>
  <sheetData>
    <row r="1">
      <c r="A1" s="103" t="inlineStr">
        <is>
          <t>📊 PROFIT SUMMARY</t>
        </is>
      </c>
      <c r="B1" s="104" t="n"/>
      <c r="C1" s="104" t="n"/>
      <c r="D1" s="104" t="n"/>
      <c r="E1" s="104" t="n"/>
      <c r="F1" s="104" t="n"/>
    </row>
    <row r="4">
      <c r="A4" s="98" t="inlineStr">
        <is>
          <t>Category</t>
        </is>
      </c>
      <c r="B4" s="98" t="inlineStr">
        <is>
          <t>Total Cost</t>
        </is>
      </c>
      <c r="C4" s="98" t="inlineStr">
        <is>
          <t>Total Sell</t>
        </is>
      </c>
      <c r="D4" s="98" t="inlineStr">
        <is>
          <t>Margin</t>
        </is>
      </c>
      <c r="E4" s="98" t="inlineStr">
        <is>
          <t>Margin%</t>
        </is>
      </c>
      <c r="F4" s="98" t="inlineStr">
        <is>
          <t>Per Person</t>
        </is>
      </c>
    </row>
    <row r="5">
      <c r="A5" s="136" t="inlineStr">
        <is>
          <t>GOLF</t>
        </is>
      </c>
      <c r="B5" s="84">
        <f>'Package Selector'!K20</f>
        <v/>
      </c>
      <c r="C5" s="84">
        <f>'Package Selector'!L20</f>
        <v/>
      </c>
      <c r="D5" s="84">
        <f>C5-B5</f>
        <v/>
      </c>
      <c r="E5" s="137">
        <f>IF(C5&gt;0,D5/C5,0)</f>
        <v/>
      </c>
      <c r="F5" s="84">
        <f>IF(E4&gt;0,B5/E4,0)</f>
        <v/>
      </c>
    </row>
    <row r="6">
      <c r="A6" s="136" t="inlineStr">
        <is>
          <t>HOTEL</t>
        </is>
      </c>
      <c r="B6" s="84">
        <f>'Package Selector'!K26</f>
        <v/>
      </c>
      <c r="C6" s="84">
        <f>'Package Selector'!L26</f>
        <v/>
      </c>
      <c r="D6" s="84">
        <f>C6-B6</f>
        <v/>
      </c>
      <c r="E6" s="137">
        <f>IF(C6&gt;0,D6/C6,0)</f>
        <v/>
      </c>
      <c r="F6" s="84">
        <f>IF(E4&gt;0,B6/E4,0)</f>
        <v/>
      </c>
    </row>
    <row r="7">
      <c r="A7" s="136" t="inlineStr">
        <is>
          <t>TRANSPORT</t>
        </is>
      </c>
      <c r="B7" s="84">
        <f>'Package Selector'!K32</f>
        <v/>
      </c>
      <c r="C7" s="84">
        <f>'Package Selector'!L32</f>
        <v/>
      </c>
      <c r="D7" s="84">
        <f>C7-B7</f>
        <v/>
      </c>
      <c r="E7" s="137">
        <f>IF(C7&gt;0,D7/C7,0)</f>
        <v/>
      </c>
      <c r="F7" s="84">
        <f>IF(E4&gt;0,B7/E4,0)</f>
        <v/>
      </c>
    </row>
    <row r="8">
      <c r="A8" s="136" t="inlineStr">
        <is>
          <t>MEALS</t>
        </is>
      </c>
      <c r="B8" s="84">
        <f>'Package Selector'!K40</f>
        <v/>
      </c>
      <c r="C8" s="84">
        <f>'Package Selector'!L40</f>
        <v/>
      </c>
      <c r="D8" s="84">
        <f>C8-B8</f>
        <v/>
      </c>
      <c r="E8" s="137">
        <f>IF(C8&gt;0,D8/C8,0)</f>
        <v/>
      </c>
      <c r="F8" s="84">
        <f>IF(E4&gt;0,B8/E4,0)</f>
        <v/>
      </c>
    </row>
    <row r="9">
      <c r="A9" s="136" t="inlineStr">
        <is>
          <t>OTHER</t>
        </is>
      </c>
      <c r="B9" s="84">
        <f>'Package Selector'!K46</f>
        <v/>
      </c>
      <c r="C9" s="84">
        <f>'Package Selector'!L46</f>
        <v/>
      </c>
      <c r="D9" s="84">
        <f>C9-B9</f>
        <v/>
      </c>
      <c r="E9" s="137">
        <f>IF(C9&gt;0,D9/C9,0)</f>
        <v/>
      </c>
      <c r="F9" s="84">
        <f>IF(E4&gt;0,B9/E4,0)</f>
        <v/>
      </c>
    </row>
    <row r="10">
      <c r="A10" s="136" t="inlineStr">
        <is>
          <t>ACTIVITIES</t>
        </is>
      </c>
      <c r="B10" s="84">
        <f>'Package Selector'!K58</f>
        <v/>
      </c>
      <c r="C10" s="84">
        <f>'Package Selector'!L58</f>
        <v/>
      </c>
      <c r="D10" s="84">
        <f>C10-B10</f>
        <v/>
      </c>
      <c r="E10" s="137">
        <f>IF(C10&gt;0,D10/C10,0)</f>
        <v/>
      </c>
      <c r="F10" s="84">
        <f>IF(E4&gt;0,B10/E4,0)</f>
        <v/>
      </c>
    </row>
    <row r="11">
      <c r="A11" s="115" t="inlineStr">
        <is>
          <t>📌 TOTAL</t>
        </is>
      </c>
      <c r="B11" s="88">
        <f>SUM(B5:B10)</f>
        <v/>
      </c>
      <c r="C11" s="88">
        <f>SUM(C5:C10)</f>
        <v/>
      </c>
      <c r="D11" s="88">
        <f>SUM(D5:D10)</f>
        <v/>
      </c>
      <c r="E11" s="91">
        <f>IF(C11&gt;0,D11/C11,0)</f>
        <v/>
      </c>
      <c r="F11" s="88">
        <f>IF(E4&gt;0,B11/E4,0)</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2026-05-23T06:48:12Z</dcterms:created>
  <dcterms:modified xmlns:dcterms="http://purl.org/dc/terms/" xmlns:xsi="http://www.w3.org/2001/XMLSchema-instance" xsi:type="dcterms:W3CDTF">2026-05-25T01:29:13Z</dcterms:modified>
</cp:coreProperties>
</file>