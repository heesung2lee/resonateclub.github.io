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Data" sheetId="1" state="visible" r:id="rId1"/>
    <sheet xmlns:r="http://schemas.openxmlformats.org/officeDocument/2006/relationships" name="12 Packages" sheetId="2" state="visible" r:id="rId2"/>
    <sheet xmlns:r="http://schemas.openxmlformats.org/officeDocument/2006/relationships" name="Profit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left"/>
    <numFmt numFmtId="165" formatCode="$#,##0"/>
    <numFmt numFmtId="166" formatCode="0.0%"/>
  </numFmts>
  <fonts count="11">
    <font>
      <name val="Calibri"/>
      <family val="2"/>
      <color theme="1"/>
      <sz val="11"/>
      <scheme val="minor"/>
    </font>
    <font>
      <b val="1"/>
      <color rgb="001a3450"/>
      <sz val="16"/>
    </font>
    <font>
      <color rgb="00cc0000"/>
      <sz val="10"/>
    </font>
    <font>
      <b val="1"/>
      <color rgb="001a3450"/>
      <sz val="13"/>
    </font>
    <font>
      <b val="1"/>
      <color rgb="00FFFFFF"/>
      <sz val="11"/>
    </font>
    <font>
      <name val="&lt;openpyxl.styles.fills.PatternFill object&gt;&#10;Parameters:&#10;patternType='solid', fgColor=&lt;openpyxl.styles.colors.Color object&gt;&#10;Parameters:&#10;rgb='00fff2cc', indexed=None, auto=None, theme=None, tint=0.0, type='rgb', bgColor=&lt;openpyxl.styles.colors.Color object&gt;&#10;Parameters:&#10;rgb='00fff2cc', indexed=None, auto=None, theme=None, tint=0.0, type='rgb'"/>
    </font>
    <font>
      <name val="&lt;openpyxl.styles.fills.PatternFill object&gt;&#10;Parameters:&#10;patternType='solid', fgColor=&lt;openpyxl.styles.colors.Color object&gt;&#10;Parameters:&#10;rgb='00d4af37', indexed=None, auto=None, theme=None, tint=0.0, type='rgb', bgColor=&lt;openpyxl.styles.colors.Color object&gt;&#10;Parameters:&#10;rgb='00d4af37', indexed=None, auto=None, theme=None, tint=0.0, type='rgb'"/>
    </font>
    <font>
      <b val="1"/>
      <color rgb="00cc0000"/>
      <sz val="10"/>
    </font>
    <font>
      <name val="&lt;openpyxl.styles.fills.PatternFill object&gt;&#10;Parameters:&#10;patternType='solid', fgColor=&lt;openpyxl.styles.colors.Color object&gt;&#10;Parameters:&#10;rgb='001a3450', indexed=None, auto=None, theme=None, tint=0.0, type='rgb', bgColor=&lt;openpyxl.styles.colors.Color object&gt;&#10;Parameters:&#10;rgb='001a3450', indexed=None, auto=None, theme=None, tint=0.0, type='rgb'"/>
    </font>
    <font>
      <b val="1"/>
      <sz val="10"/>
    </font>
    <font>
      <name val="&lt;openpyxl.styles.fills.PatternFill object&gt;&#10;Parameters:&#10;patternType='solid', fgColor=&lt;openpyxl.styles.colors.Color object&gt;&#10;Parameters:&#10;rgb='00c6efce', indexed=None, auto=None, theme=None, tint=0.0, type='rgb', bgColor=&lt;openpyxl.styles.colors.Color object&gt;&#10;Parameters:&#10;rgb='00c6efce', indexed=None, auto=None, theme=None, tint=0.0, type='rgb'"/>
    </font>
  </fonts>
  <fills count="5">
    <fill>
      <patternFill/>
    </fill>
    <fill>
      <patternFill patternType="gray125"/>
    </fill>
    <fill>
      <patternFill patternType="solid">
        <fgColor rgb="001a3450"/>
        <bgColor rgb="001a3450"/>
      </patternFill>
    </fill>
    <fill>
      <patternFill patternType="solid">
        <fgColor rgb="00f5e6c8"/>
        <bgColor rgb="00f5e6c8"/>
      </patternFill>
    </fill>
    <fill>
      <patternFill patternType="solid">
        <fgColor rgb="00d4af37"/>
        <bgColor rgb="00d4af3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0" fillId="3" borderId="1" applyAlignment="1" pivotButton="0" quotePrefix="0" xfId="0">
      <alignment horizontal="center" vertical="center" wrapText="1"/>
    </xf>
    <xf numFmtId="165" fontId="0" fillId="3" borderId="1" applyAlignment="1" pivotButton="0" quotePrefix="0" xfId="0">
      <alignment horizontal="center" vertical="center" wrapText="1"/>
    </xf>
    <xf numFmtId="166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6" fontId="0" fillId="0" borderId="1" applyAlignment="1" pivotButton="0" quotePrefix="0" xfId="0">
      <alignment horizontal="center" vertical="center" wrapText="1"/>
    </xf>
    <xf numFmtId="164" fontId="4" fillId="2" borderId="1" applyAlignment="1" pivotButton="0" quotePrefix="0" xfId="0">
      <alignment horizontal="right" vertical="center"/>
    </xf>
    <xf numFmtId="0" fontId="4" fillId="0" borderId="0" pivotButton="0" quotePrefix="0" xfId="0"/>
    <xf numFmtId="165" fontId="4" fillId="2" borderId="1" applyAlignment="1" pivotButton="0" quotePrefix="0" xfId="0">
      <alignment horizontal="center" vertical="center" wrapText="1"/>
    </xf>
    <xf numFmtId="165" fontId="9" fillId="4" borderId="1" applyAlignment="1" pivotButton="0" quotePrefix="0" xfId="0">
      <alignment horizontal="center" vertical="center" wrapText="1"/>
    </xf>
    <xf numFmtId="165" fontId="1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12종 패키지 수익 비교 (Sell / Cost / Profit)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'Profit Summary'!B23</f>
            </strRef>
          </tx>
          <spPr>
            <a:solidFill xmlns:a="http://schemas.openxmlformats.org/drawingml/2006/main">
              <a:srgbClr val="d4af37"/>
            </a:solidFill>
            <a:ln xmlns:a="http://schemas.openxmlformats.org/drawingml/2006/main">
              <a:prstDash val="solid"/>
            </a:ln>
          </spPr>
          <cat>
            <numRef>
              <f>'Profit Summary'!$A$24:$A$35</f>
            </numRef>
          </cat>
          <val>
            <numRef>
              <f>'Profit Summary'!$B$24:$B$35</f>
            </numRef>
          </val>
        </ser>
        <ser>
          <idx val="1"/>
          <order val="1"/>
          <tx>
            <strRef>
              <f>'Profit Summary'!C23</f>
            </strRef>
          </tx>
          <spPr>
            <a:solidFill xmlns:a="http://schemas.openxmlformats.org/drawingml/2006/main">
              <a:srgbClr val="999999"/>
            </a:solidFill>
            <a:ln xmlns:a="http://schemas.openxmlformats.org/drawingml/2006/main">
              <a:prstDash val="solid"/>
            </a:ln>
          </spPr>
          <cat>
            <numRef>
              <f>'Profit Summary'!$A$24:$A$35</f>
            </numRef>
          </cat>
          <val>
            <numRef>
              <f>'Profit Summary'!$C$24:$C$35</f>
            </numRef>
          </val>
        </ser>
        <ser>
          <idx val="2"/>
          <order val="2"/>
          <tx>
            <strRef>
              <f>'Profit Summary'!D23</f>
            </strRef>
          </tx>
          <spPr>
            <a:solidFill xmlns:a="http://schemas.openxmlformats.org/drawingml/2006/main">
              <a:srgbClr val="1a3450"/>
            </a:solidFill>
            <a:ln xmlns:a="http://schemas.openxmlformats.org/drawingml/2006/main">
              <a:prstDash val="solid"/>
            </a:ln>
          </spPr>
          <cat>
            <numRef>
              <f>'Profit Summary'!$A$24:$A$35</f>
            </numRef>
          </cat>
          <val>
            <numRef>
              <f>'Profit Summary'!$D$24:$D$35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Package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36</row>
      <rowOff>0</rowOff>
    </from>
    <ext cx="1008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3450"/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4" customWidth="1" min="4" max="4"/>
    <col width="42" customWidth="1" min="5" max="5"/>
    <col width="18" customWidth="1" min="6" max="6"/>
  </cols>
  <sheetData>
    <row r="1">
      <c r="A1" s="1" t="inlineStr">
        <is>
          <t>📊 MASTER DATA — 모든 비용 파라미터 (여기서 수정하면 전체 자동 반영)</t>
        </is>
      </c>
    </row>
    <row r="2">
      <c r="A2" s="2" t="inlineStr">
        <is>
          <t>⚠️ 이 시트의 숫자를 변경하면 12개 패키지 전체가 자동 업데이트됩니다 | 2026-05-19</t>
        </is>
      </c>
    </row>
    <row r="4">
      <c r="A4" s="3" t="inlineStr">
        <is>
          <t>⛳ 골프 코스 비용 (1인 1라운드 기준, USD)</t>
        </is>
      </c>
    </row>
    <row r="5">
      <c r="A5" s="4" t="inlineStr">
        <is>
          <t>코스</t>
        </is>
      </c>
      <c r="B5" s="4" t="inlineStr">
        <is>
          <t>원가 (Cost)</t>
        </is>
      </c>
      <c r="C5" s="4" t="inlineStr">
        <is>
          <t>판매가 (Sell)</t>
        </is>
      </c>
      <c r="D5" s="4" t="inlineStr">
        <is>
          <t>단위마진</t>
        </is>
      </c>
      <c r="E5" s="4" t="inlineStr">
        <is>
          <t>특이사항</t>
        </is>
      </c>
      <c r="F5" s="4" t="inlineStr">
        <is>
          <t>추가마진</t>
        </is>
      </c>
    </row>
    <row r="6">
      <c r="A6" s="5" t="inlineStr">
        <is>
          <t>Trump National LA</t>
        </is>
      </c>
      <c r="B6" s="6" t="n">
        <v>210</v>
      </c>
      <c r="C6" s="6" t="n">
        <v>500</v>
      </c>
      <c r="D6" s="6">
        <f>C6-B6</f>
        <v/>
      </c>
      <c r="E6" s="7" t="inlineStr">
        <is>
          <t>멤버십 게스트 요금 | Cart 포함</t>
        </is>
      </c>
      <c r="F6" s="7" t="inlineStr">
        <is>
          <t>-</t>
        </is>
      </c>
    </row>
    <row r="7">
      <c r="A7" s="5" t="inlineStr">
        <is>
          <t>Sandpiper GC</t>
        </is>
      </c>
      <c r="B7" s="6" t="n">
        <v>130</v>
      </c>
      <c r="C7" s="6" t="n">
        <v>245</v>
      </c>
      <c r="D7" s="6">
        <f>C7-B7</f>
        <v/>
      </c>
      <c r="E7" s="7" t="inlineStr">
        <is>
          <t>UnderPar.com deal | 당일 무료리플레이 | Non-Resident weekend</t>
        </is>
      </c>
      <c r="F7" s="8" t="inlineStr">
        <is>
          <t>+$245 replay 시</t>
        </is>
      </c>
    </row>
    <row r="8">
      <c r="A8" s="5" t="inlineStr">
        <is>
          <t>Hidden Valley GC</t>
        </is>
      </c>
      <c r="B8" s="6" t="n">
        <v>109</v>
      </c>
      <c r="C8" s="6" t="n">
        <v>109</v>
      </c>
      <c r="D8" s="6">
        <f>C8-B8</f>
        <v/>
      </c>
      <c r="E8" s="7" t="inlineStr">
        <is>
          <t>Weekend Prime Morning | 9Stamp=1무료 (스탬프당 $12.11)</t>
        </is>
      </c>
      <c r="F8" s="6">
        <f>C8/9</f>
        <v/>
      </c>
    </row>
    <row r="10">
      <c r="A10" s="3" t="inlineStr">
        <is>
          <t>🏨 숙소 (1인 1박 기준, 더블오큐펜시)</t>
        </is>
      </c>
    </row>
    <row r="11">
      <c r="A11" s="4" t="inlineStr">
        <is>
          <t>호텔</t>
        </is>
      </c>
      <c r="B11" s="4" t="inlineStr">
        <is>
          <t>원가/인/박</t>
        </is>
      </c>
      <c r="C11" s="4" t="inlineStr">
        <is>
          <t>판매가/인/박</t>
        </is>
      </c>
      <c r="D11" s="4" t="inlineStr">
        <is>
          <t>단위마진</t>
        </is>
      </c>
      <c r="E11" s="4" t="inlineStr">
        <is>
          <t>비고</t>
        </is>
      </c>
      <c r="F11" s="4" t="inlineStr"/>
    </row>
    <row r="12">
      <c r="A12" s="5" t="inlineStr">
        <is>
          <t>Beverly Wilshire (5★) / 동급</t>
        </is>
      </c>
      <c r="B12" s="6" t="n">
        <v>275</v>
      </c>
      <c r="C12" s="6" t="n">
        <v>375</v>
      </c>
      <c r="D12" s="6">
        <f>C12-B12</f>
        <v/>
      </c>
      <c r="E12" s="7" t="inlineStr">
        <is>
          <t>Double occupancy ($550/room ÷ 2)</t>
        </is>
      </c>
    </row>
    <row r="14">
      <c r="A14" s="3" t="inlineStr">
        <is>
          <t>🚐 교통 (1인 1일 기준, 4인 1조)</t>
        </is>
      </c>
    </row>
    <row r="15">
      <c r="A15" s="4" t="inlineStr">
        <is>
          <t>항목</t>
        </is>
      </c>
      <c r="B15" s="4" t="inlineStr">
        <is>
          <t>원가/인/일</t>
        </is>
      </c>
      <c r="C15" s="4" t="inlineStr">
        <is>
          <t>판매가/인/일</t>
        </is>
      </c>
      <c r="D15" s="4" t="inlineStr">
        <is>
          <t>단위마진</t>
        </is>
      </c>
      <c r="E15" s="4" t="inlineStr">
        <is>
          <t>비고</t>
        </is>
      </c>
      <c r="F15" s="4" t="inlineStr"/>
    </row>
    <row r="16">
      <c r="A16" s="5" t="inlineStr">
        <is>
          <t>Driver/Guide + 럭셔리밴</t>
        </is>
      </c>
      <c r="B16" s="6" t="n">
        <v>125</v>
      </c>
      <c r="C16" s="6" t="n">
        <v>175</v>
      </c>
      <c r="D16" s="6">
        <f>C16-B16</f>
        <v/>
      </c>
      <c r="E16" s="7" t="inlineStr">
        <is>
          <t>$500/일 ÷ 4인 | 드라이버=가이드</t>
        </is>
      </c>
    </row>
    <row r="17">
      <c r="A17" s="5" t="inlineStr">
        <is>
          <t>공항 왕복 픽업 (1회)</t>
        </is>
      </c>
      <c r="B17" s="6" t="n">
        <v>75</v>
      </c>
      <c r="C17" s="6" t="n">
        <v>120</v>
      </c>
      <c r="D17" s="6">
        <f>C17-B17</f>
        <v/>
      </c>
      <c r="E17" s="7" t="inlineStr">
        <is>
          <t>LAX ↔ 호텔</t>
        </is>
      </c>
    </row>
    <row r="19">
      <c r="A19" s="3" t="inlineStr">
        <is>
          <t>🍽️ 식사 (1인 1끼 기준)</t>
        </is>
      </c>
    </row>
    <row r="20">
      <c r="A20" s="4" t="inlineStr">
        <is>
          <t>식사종류</t>
        </is>
      </c>
      <c r="B20" s="4" t="inlineStr">
        <is>
          <t>원가/인</t>
        </is>
      </c>
      <c r="C20" s="4" t="inlineStr">
        <is>
          <t>판매가/인</t>
        </is>
      </c>
      <c r="D20" s="4" t="inlineStr">
        <is>
          <t>단위마진</t>
        </is>
      </c>
      <c r="E20" s="4" t="inlineStr">
        <is>
          <t>비고</t>
        </is>
      </c>
      <c r="F20" s="4" t="inlineStr"/>
    </row>
    <row r="21">
      <c r="A21" s="5" t="inlineStr">
        <is>
          <t>조식 (호텔)</t>
        </is>
      </c>
      <c r="B21" s="6" t="n">
        <v>30</v>
      </c>
      <c r="C21" s="6" t="n">
        <v>45</v>
      </c>
      <c r="D21" s="6">
        <f>C21-B21</f>
        <v/>
      </c>
      <c r="E21" s="7" t="inlineStr">
        <is>
          <t>매일 포함</t>
        </is>
      </c>
    </row>
    <row r="22">
      <c r="A22" s="5" t="inlineStr">
        <is>
          <t>중식</t>
        </is>
      </c>
      <c r="B22" s="6" t="n">
        <v>40</v>
      </c>
      <c r="C22" s="6" t="n">
        <v>60</v>
      </c>
      <c r="D22" s="6">
        <f>C22-B22</f>
        <v/>
      </c>
      <c r="E22" s="7" t="inlineStr">
        <is>
          <t>매일 포함</t>
        </is>
      </c>
    </row>
    <row r="23">
      <c r="A23" s="5" t="inlineStr">
        <is>
          <t>석식 (일반)</t>
        </is>
      </c>
      <c r="B23" s="6" t="n">
        <v>80</v>
      </c>
      <c r="C23" s="6" t="n">
        <v>120</v>
      </c>
      <c r="D23" s="6">
        <f>C23-B23</f>
        <v/>
      </c>
      <c r="E23" s="7" t="inlineStr">
        <is>
          <t>일반석식</t>
        </is>
      </c>
    </row>
    <row r="24">
      <c r="A24" s="9" t="inlineStr">
        <is>
          <t>Exclusive 디너 (미슐랭/파인다이닝)</t>
        </is>
      </c>
      <c r="B24" s="6" t="n">
        <v>120</v>
      </c>
      <c r="C24" s="6" t="n">
        <v>180</v>
      </c>
      <c r="D24" s="6">
        <f>C24-B24</f>
        <v/>
      </c>
      <c r="E24" s="7" t="inlineStr">
        <is>
          <t>트립당 2회 포함</t>
        </is>
      </c>
    </row>
    <row r="26">
      <c r="A26" s="3" t="inlineStr">
        <is>
          <t>📦 기타 비용 (1인 1일 기준)</t>
        </is>
      </c>
    </row>
    <row r="27">
      <c r="A27" s="4" t="inlineStr">
        <is>
          <t>항목</t>
        </is>
      </c>
      <c r="B27" s="4" t="inlineStr">
        <is>
          <t>원가/인/일</t>
        </is>
      </c>
      <c r="C27" s="4" t="inlineStr">
        <is>
          <t>판매가/인/일</t>
        </is>
      </c>
      <c r="D27" s="4" t="inlineStr">
        <is>
          <t>단위마진</t>
        </is>
      </c>
      <c r="E27" s="4" t="inlineStr">
        <is>
          <t>비고</t>
        </is>
      </c>
      <c r="F27" s="4" t="inlineStr"/>
    </row>
    <row r="28">
      <c r="A28" s="5" t="inlineStr">
        <is>
          <t>기타경비 (보험·팁·컨틴전시)</t>
        </is>
      </c>
      <c r="B28" s="6" t="n">
        <v>50</v>
      </c>
      <c r="C28" s="6" t="n">
        <v>75</v>
      </c>
      <c r="D28" s="6">
        <f>C28-B28</f>
        <v/>
      </c>
      <c r="E28" s="7" t="inlineStr">
        <is>
          <t>일당</t>
        </is>
      </c>
    </row>
    <row r="30">
      <c r="A30" s="3" t="inlineStr">
        <is>
          <t>📐 패키지 구조 파라미터</t>
        </is>
      </c>
    </row>
    <row r="31">
      <c r="A31" s="4" t="inlineStr">
        <is>
          <t>파라미터</t>
        </is>
      </c>
      <c r="B31" s="4" t="inlineStr">
        <is>
          <t>값</t>
        </is>
      </c>
      <c r="C31" s="4" t="inlineStr">
        <is>
          <t>설명</t>
        </is>
      </c>
      <c r="D31" s="4" t="inlineStr"/>
      <c r="E31" s="4" t="inlineStr"/>
      <c r="F31" s="4" t="inlineStr"/>
    </row>
    <row r="32">
      <c r="A32" s="5" t="inlineStr">
        <is>
          <t>트립당 Exclusive 디너 횟수</t>
        </is>
      </c>
      <c r="B32" s="10" t="n">
        <v>2</v>
      </c>
      <c r="C32" s="7" t="inlineStr">
        <is>
          <t>모든 패키지 공통</t>
        </is>
      </c>
    </row>
    <row r="33">
      <c r="A33" s="5" t="inlineStr">
        <is>
          <t>4인팀 기준 인원수</t>
        </is>
      </c>
      <c r="B33" s="10" t="n">
        <v>4</v>
      </c>
      <c r="C33" s="7" t="inlineStr">
        <is>
          <t>팀당 골퍼 수</t>
        </is>
      </c>
    </row>
  </sheetData>
  <mergeCells count="8">
    <mergeCell ref="A2:F2"/>
    <mergeCell ref="A10:F10"/>
    <mergeCell ref="A19:F19"/>
    <mergeCell ref="A14:F14"/>
    <mergeCell ref="A1:F1"/>
    <mergeCell ref="A4:F4"/>
    <mergeCell ref="A26:F26"/>
    <mergeCell ref="A30:F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4af37"/>
    <outlinePr summaryBelow="1" summaryRight="1"/>
    <pageSetUpPr/>
  </sheetPr>
  <dimension ref="A1:AA18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10" customWidth="1" min="3" max="3"/>
    <col width="24" customWidth="1" min="4" max="4"/>
    <col width="5" customWidth="1" min="5" max="5"/>
    <col width="5" customWidth="1" min="6" max="6"/>
    <col width="7" customWidth="1" min="7" max="7"/>
    <col width="6" customWidth="1" min="8" max="8"/>
    <col width="6" customWidth="1" min="9" max="9"/>
    <col width="6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10" customWidth="1" min="22" max="22"/>
    <col width="10" customWidth="1" min="23" max="23"/>
    <col width="9" customWidth="1" min="24" max="24"/>
    <col width="9" customWidth="1" min="25" max="25"/>
    <col width="10" customWidth="1" min="26" max="26"/>
    <col width="8" customWidth="1" min="27" max="27"/>
  </cols>
  <sheetData>
    <row r="1">
      <c r="A1" s="1" t="inlineStr">
        <is>
          <t>결 TOUR — 미국 LA 골프 패키지 12종 상세 (1인 기준, USD) ★ 전부 수식 연동</t>
        </is>
      </c>
    </row>
    <row r="2">
      <c r="A2" s="11" t="inlineStr">
        <is>
          <t>🔗 Master Data 시트의 숫자를 변경하면 이 시트의 모든 값이 자동 업데이트됩니다</t>
        </is>
      </c>
    </row>
    <row r="4">
      <c r="A4" s="4" t="inlineStr">
        <is>
          <t>No</t>
        </is>
      </c>
      <c r="B4" s="4" t="inlineStr">
        <is>
          <t>ID</t>
        </is>
      </c>
      <c r="C4" s="4" t="inlineStr">
        <is>
          <t>일정</t>
        </is>
      </c>
      <c r="D4" s="4" t="inlineStr">
        <is>
          <t>패키지명</t>
        </is>
      </c>
      <c r="E4" s="4" t="inlineStr">
        <is>
          <t>박</t>
        </is>
      </c>
      <c r="F4" s="4" t="inlineStr">
        <is>
          <t>일</t>
        </is>
      </c>
      <c r="G4" s="4" t="inlineStr">
        <is>
          <t>Rounds</t>
        </is>
      </c>
      <c r="H4" s="4" t="inlineStr">
        <is>
          <t>Trump
회</t>
        </is>
      </c>
      <c r="I4" s="4" t="inlineStr">
        <is>
          <t>Sand
회</t>
        </is>
      </c>
      <c r="J4" s="4" t="inlineStr">
        <is>
          <t>HV
회</t>
        </is>
      </c>
      <c r="K4" s="4" t="inlineStr">
        <is>
          <t>골프C</t>
        </is>
      </c>
      <c r="L4" s="4" t="inlineStr">
        <is>
          <t>골프S</t>
        </is>
      </c>
      <c r="M4" s="4" t="inlineStr">
        <is>
          <t>호텔C</t>
        </is>
      </c>
      <c r="N4" s="4" t="inlineStr">
        <is>
          <t>호텔S</t>
        </is>
      </c>
      <c r="O4" s="4" t="inlineStr">
        <is>
          <t>차량C</t>
        </is>
      </c>
      <c r="P4" s="4" t="inlineStr">
        <is>
          <t>차량S</t>
        </is>
      </c>
      <c r="Q4" s="4" t="inlineStr">
        <is>
          <t>식사C</t>
        </is>
      </c>
      <c r="R4" s="4" t="inlineStr">
        <is>
          <t>식사S</t>
        </is>
      </c>
      <c r="S4" s="4" t="inlineStr">
        <is>
          <t>기타C</t>
        </is>
      </c>
      <c r="T4" s="4" t="inlineStr">
        <is>
          <t>기타S</t>
        </is>
      </c>
      <c r="U4" s="4" t="inlineStr">
        <is>
          <t>총원가</t>
        </is>
      </c>
      <c r="V4" s="4" t="inlineStr">
        <is>
          <t>총판매</t>
        </is>
      </c>
      <c r="W4" s="4" t="inlineStr">
        <is>
          <t>매출이익</t>
        </is>
      </c>
      <c r="X4" s="4" t="inlineStr">
        <is>
          <t>Stamp+</t>
        </is>
      </c>
      <c r="Y4" s="4" t="inlineStr">
        <is>
          <t>리플레이+</t>
        </is>
      </c>
      <c r="Z4" s="4" t="inlineStr">
        <is>
          <t>실질이익</t>
        </is>
      </c>
      <c r="AA4" s="4" t="inlineStr">
        <is>
          <t>마진율</t>
        </is>
      </c>
    </row>
    <row r="5">
      <c r="A5" s="12" t="n">
        <v>1</v>
      </c>
      <c r="B5" s="12" t="inlineStr">
        <is>
          <t>A1</t>
        </is>
      </c>
      <c r="C5" s="12" t="inlineStr">
        <is>
          <t>3박 4일</t>
        </is>
      </c>
      <c r="D5" s="12" t="inlineStr">
        <is>
          <t>트럼프 익스클루시브</t>
        </is>
      </c>
      <c r="E5" s="12" t="n">
        <v>3</v>
      </c>
      <c r="F5" s="12" t="n">
        <v>4</v>
      </c>
      <c r="G5" s="12" t="n">
        <v>2</v>
      </c>
      <c r="H5" s="12" t="n">
        <v>2</v>
      </c>
      <c r="I5" s="12" t="n">
        <v>0</v>
      </c>
      <c r="J5" s="12" t="n">
        <v>0</v>
      </c>
      <c r="K5" s="13">
        <f>'Master Data'!B6*H5+'Master Data'!B7*I5+'Master Data'!B8*J5</f>
        <v/>
      </c>
      <c r="L5" s="13">
        <f>'Master Data'!C6*H5+'Master Data'!C7*I5+'Master Data'!C8*J5</f>
        <v/>
      </c>
      <c r="M5" s="13">
        <f>E5*'Master Data'!B12</f>
        <v/>
      </c>
      <c r="N5" s="13">
        <f>E5*'Master Data'!C12</f>
        <v/>
      </c>
      <c r="O5" s="13">
        <f>F5*'Master Data'!B16</f>
        <v/>
      </c>
      <c r="P5" s="13">
        <f>F5*'Master Data'!C16</f>
        <v/>
      </c>
      <c r="Q5" s="13">
        <f>F5*('Master Data'!B21+'Master Data'!B22)+(F5-'Master Data'!B32)*'Master Data'!B23+'Master Data'!B32*'Master Data'!B24+'Master Data'!B17</f>
        <v/>
      </c>
      <c r="R5" s="13">
        <f>F5*('Master Data'!C21+'Master Data'!C22)+(F5-'Master Data'!B32)*'Master Data'!C23+'Master Data'!B32*'Master Data'!C24+'Master Data'!C17</f>
        <v/>
      </c>
      <c r="S5" s="13">
        <f>F5*'Master Data'!B28</f>
        <v/>
      </c>
      <c r="T5" s="13">
        <f>F5*'Master Data'!C28</f>
        <v/>
      </c>
      <c r="U5" s="13">
        <f>K5+M5+O5+Q5+S5</f>
        <v/>
      </c>
      <c r="V5" s="13">
        <f>L5+N5+P5+R5+T5</f>
        <v/>
      </c>
      <c r="W5" s="13">
        <f>V5-U5</f>
        <v/>
      </c>
      <c r="X5" s="13">
        <f>J5*'Master Data'!F8</f>
        <v/>
      </c>
      <c r="Y5" s="13">
        <f>IF(I5&gt;=2,'Master Data'!B7,0)</f>
        <v/>
      </c>
      <c r="Z5" s="13">
        <f>W5+X5+Y5</f>
        <v/>
      </c>
      <c r="AA5" s="14">
        <f>IF(V5&gt;0,Z5/V5,0)</f>
        <v/>
      </c>
    </row>
    <row r="6">
      <c r="A6" s="15" t="n">
        <v>2</v>
      </c>
      <c r="B6" s="15" t="inlineStr">
        <is>
          <t>A2</t>
        </is>
      </c>
      <c r="C6" s="15" t="inlineStr">
        <is>
          <t>3박 4일</t>
        </is>
      </c>
      <c r="D6" s="15" t="inlineStr">
        <is>
          <t>트럼프 + 샌드파이퍼 오션뷰</t>
        </is>
      </c>
      <c r="E6" s="15" t="n">
        <v>3</v>
      </c>
      <c r="F6" s="15" t="n">
        <v>4</v>
      </c>
      <c r="G6" s="15" t="n">
        <v>2</v>
      </c>
      <c r="H6" s="15" t="n">
        <v>1</v>
      </c>
      <c r="I6" s="15" t="n">
        <v>1</v>
      </c>
      <c r="J6" s="15" t="n">
        <v>0</v>
      </c>
      <c r="K6" s="6">
        <f>'Master Data'!B6*H6+'Master Data'!B7*I6+'Master Data'!B8*J6</f>
        <v/>
      </c>
      <c r="L6" s="6">
        <f>'Master Data'!C6*H6+'Master Data'!C7*I6+'Master Data'!C8*J6</f>
        <v/>
      </c>
      <c r="M6" s="6">
        <f>E6*'Master Data'!B12</f>
        <v/>
      </c>
      <c r="N6" s="6">
        <f>E6*'Master Data'!C12</f>
        <v/>
      </c>
      <c r="O6" s="6">
        <f>F6*'Master Data'!B16</f>
        <v/>
      </c>
      <c r="P6" s="6">
        <f>F6*'Master Data'!C16</f>
        <v/>
      </c>
      <c r="Q6" s="6">
        <f>F6*('Master Data'!B21+'Master Data'!B22)+(F6-'Master Data'!B32)*'Master Data'!B23+'Master Data'!B32*'Master Data'!B24+'Master Data'!B17</f>
        <v/>
      </c>
      <c r="R6" s="6">
        <f>F6*('Master Data'!C21+'Master Data'!C22)+(F6-'Master Data'!B32)*'Master Data'!C23+'Master Data'!B32*'Master Data'!C24+'Master Data'!C17</f>
        <v/>
      </c>
      <c r="S6" s="6">
        <f>F6*'Master Data'!B28</f>
        <v/>
      </c>
      <c r="T6" s="6">
        <f>F6*'Master Data'!C28</f>
        <v/>
      </c>
      <c r="U6" s="6">
        <f>K6+M6+O6+Q6+S6</f>
        <v/>
      </c>
      <c r="V6" s="6">
        <f>L6+N6+P6+R6+T6</f>
        <v/>
      </c>
      <c r="W6" s="6">
        <f>V6-U6</f>
        <v/>
      </c>
      <c r="X6" s="6">
        <f>J6*'Master Data'!F8</f>
        <v/>
      </c>
      <c r="Y6" s="6">
        <f>IF(I6&gt;=2,'Master Data'!B7,0)</f>
        <v/>
      </c>
      <c r="Z6" s="6">
        <f>W6+X6+Y6</f>
        <v/>
      </c>
      <c r="AA6" s="16">
        <f>IF(V6&gt;0,Z6/V6,0)</f>
        <v/>
      </c>
    </row>
    <row r="7">
      <c r="A7" s="12" t="n">
        <v>3</v>
      </c>
      <c r="B7" s="12" t="inlineStr">
        <is>
          <t>A3</t>
        </is>
      </c>
      <c r="C7" s="12" t="inlineStr">
        <is>
          <t>3박 4일</t>
        </is>
      </c>
      <c r="D7" s="12" t="inlineStr">
        <is>
          <t>트럼프 + 히든밸리</t>
        </is>
      </c>
      <c r="E7" s="12" t="n">
        <v>3</v>
      </c>
      <c r="F7" s="12" t="n">
        <v>4</v>
      </c>
      <c r="G7" s="12" t="n">
        <v>2</v>
      </c>
      <c r="H7" s="12" t="n">
        <v>1</v>
      </c>
      <c r="I7" s="12" t="n">
        <v>0</v>
      </c>
      <c r="J7" s="12" t="n">
        <v>1</v>
      </c>
      <c r="K7" s="13">
        <f>'Master Data'!B6*H7+'Master Data'!B7*I7+'Master Data'!B8*J7</f>
        <v/>
      </c>
      <c r="L7" s="13">
        <f>'Master Data'!C6*H7+'Master Data'!C7*I7+'Master Data'!C8*J7</f>
        <v/>
      </c>
      <c r="M7" s="13">
        <f>E7*'Master Data'!B12</f>
        <v/>
      </c>
      <c r="N7" s="13">
        <f>E7*'Master Data'!C12</f>
        <v/>
      </c>
      <c r="O7" s="13">
        <f>F7*'Master Data'!B16</f>
        <v/>
      </c>
      <c r="P7" s="13">
        <f>F7*'Master Data'!C16</f>
        <v/>
      </c>
      <c r="Q7" s="13">
        <f>F7*('Master Data'!B21+'Master Data'!B22)+(F7-'Master Data'!B32)*'Master Data'!B23+'Master Data'!B32*'Master Data'!B24+'Master Data'!B17</f>
        <v/>
      </c>
      <c r="R7" s="13">
        <f>F7*('Master Data'!C21+'Master Data'!C22)+(F7-'Master Data'!B32)*'Master Data'!C23+'Master Data'!B32*'Master Data'!C24+'Master Data'!C17</f>
        <v/>
      </c>
      <c r="S7" s="13">
        <f>F7*'Master Data'!B28</f>
        <v/>
      </c>
      <c r="T7" s="13">
        <f>F7*'Master Data'!C28</f>
        <v/>
      </c>
      <c r="U7" s="13">
        <f>K7+M7+O7+Q7+S7</f>
        <v/>
      </c>
      <c r="V7" s="13">
        <f>L7+N7+P7+R7+T7</f>
        <v/>
      </c>
      <c r="W7" s="13">
        <f>V7-U7</f>
        <v/>
      </c>
      <c r="X7" s="13">
        <f>J7*'Master Data'!F8</f>
        <v/>
      </c>
      <c r="Y7" s="13">
        <f>IF(I7&gt;=2,'Master Data'!B7,0)</f>
        <v/>
      </c>
      <c r="Z7" s="13">
        <f>W7+X7+Y7</f>
        <v/>
      </c>
      <c r="AA7" s="14">
        <f>IF(V7&gt;0,Z7/V7,0)</f>
        <v/>
      </c>
    </row>
    <row r="8">
      <c r="A8" s="15" t="n">
        <v>4</v>
      </c>
      <c r="B8" s="15" t="inlineStr">
        <is>
          <t>A4</t>
        </is>
      </c>
      <c r="C8" s="15" t="inlineStr">
        <is>
          <t>3박 4일</t>
        </is>
      </c>
      <c r="D8" s="15" t="inlineStr">
        <is>
          <t>트럼프 인텐시브 + LA</t>
        </is>
      </c>
      <c r="E8" s="15" t="n">
        <v>3</v>
      </c>
      <c r="F8" s="15" t="n">
        <v>4</v>
      </c>
      <c r="G8" s="15" t="n">
        <v>2</v>
      </c>
      <c r="H8" s="15" t="n">
        <v>2</v>
      </c>
      <c r="I8" s="15" t="n">
        <v>0</v>
      </c>
      <c r="J8" s="15" t="n">
        <v>0</v>
      </c>
      <c r="K8" s="6">
        <f>'Master Data'!B6*H8+'Master Data'!B7*I8+'Master Data'!B8*J8</f>
        <v/>
      </c>
      <c r="L8" s="6">
        <f>'Master Data'!C6*H8+'Master Data'!C7*I8+'Master Data'!C8*J8</f>
        <v/>
      </c>
      <c r="M8" s="6">
        <f>E8*'Master Data'!B12</f>
        <v/>
      </c>
      <c r="N8" s="6">
        <f>E8*'Master Data'!C12</f>
        <v/>
      </c>
      <c r="O8" s="6">
        <f>F8*'Master Data'!B16</f>
        <v/>
      </c>
      <c r="P8" s="6">
        <f>F8*'Master Data'!C16</f>
        <v/>
      </c>
      <c r="Q8" s="6">
        <f>F8*('Master Data'!B21+'Master Data'!B22)+(F8-'Master Data'!B32)*'Master Data'!B23+'Master Data'!B32*'Master Data'!B24+'Master Data'!B17</f>
        <v/>
      </c>
      <c r="R8" s="6">
        <f>F8*('Master Data'!C21+'Master Data'!C22)+(F8-'Master Data'!B32)*'Master Data'!C23+'Master Data'!B32*'Master Data'!C24+'Master Data'!C17</f>
        <v/>
      </c>
      <c r="S8" s="6">
        <f>F8*'Master Data'!B28</f>
        <v/>
      </c>
      <c r="T8" s="6">
        <f>F8*'Master Data'!C28</f>
        <v/>
      </c>
      <c r="U8" s="6">
        <f>K8+M8+O8+Q8+S8</f>
        <v/>
      </c>
      <c r="V8" s="6">
        <f>L8+N8+P8+R8+T8</f>
        <v/>
      </c>
      <c r="W8" s="6">
        <f>V8-U8</f>
        <v/>
      </c>
      <c r="X8" s="6">
        <f>J8*'Master Data'!F8</f>
        <v/>
      </c>
      <c r="Y8" s="6">
        <f>IF(I8&gt;=2,'Master Data'!B7,0)</f>
        <v/>
      </c>
      <c r="Z8" s="6">
        <f>W8+X8+Y8</f>
        <v/>
      </c>
      <c r="AA8" s="16">
        <f>IF(V8&gt;0,Z8/V8,0)</f>
        <v/>
      </c>
    </row>
    <row r="9">
      <c r="A9" s="12" t="n">
        <v>5</v>
      </c>
      <c r="B9" s="12" t="inlineStr">
        <is>
          <t>B1</t>
        </is>
      </c>
      <c r="C9" s="12" t="inlineStr">
        <is>
          <t>5박 7일</t>
        </is>
      </c>
      <c r="D9" s="12" t="inlineStr">
        <is>
          <t>트럼프 그랜드슬램</t>
        </is>
      </c>
      <c r="E9" s="12" t="n">
        <v>5</v>
      </c>
      <c r="F9" s="12" t="n">
        <v>7</v>
      </c>
      <c r="G9" s="12" t="n">
        <v>4</v>
      </c>
      <c r="H9" s="12" t="n">
        <v>4</v>
      </c>
      <c r="I9" s="12" t="n">
        <v>0</v>
      </c>
      <c r="J9" s="12" t="n">
        <v>0</v>
      </c>
      <c r="K9" s="13">
        <f>'Master Data'!B6*H9+'Master Data'!B7*I9+'Master Data'!B8*J9</f>
        <v/>
      </c>
      <c r="L9" s="13">
        <f>'Master Data'!C6*H9+'Master Data'!C7*I9+'Master Data'!C8*J9</f>
        <v/>
      </c>
      <c r="M9" s="13">
        <f>E9*'Master Data'!B12</f>
        <v/>
      </c>
      <c r="N9" s="13">
        <f>E9*'Master Data'!C12</f>
        <v/>
      </c>
      <c r="O9" s="13">
        <f>F9*'Master Data'!B16</f>
        <v/>
      </c>
      <c r="P9" s="13">
        <f>F9*'Master Data'!C16</f>
        <v/>
      </c>
      <c r="Q9" s="13">
        <f>F9*('Master Data'!B21+'Master Data'!B22)+(F9-'Master Data'!B32)*'Master Data'!B23+'Master Data'!B32*'Master Data'!B24+'Master Data'!B17</f>
        <v/>
      </c>
      <c r="R9" s="13">
        <f>F9*('Master Data'!C21+'Master Data'!C22)+(F9-'Master Data'!B32)*'Master Data'!C23+'Master Data'!B32*'Master Data'!C24+'Master Data'!C17</f>
        <v/>
      </c>
      <c r="S9" s="13">
        <f>F9*'Master Data'!B28</f>
        <v/>
      </c>
      <c r="T9" s="13">
        <f>F9*'Master Data'!C28</f>
        <v/>
      </c>
      <c r="U9" s="13">
        <f>K9+M9+O9+Q9+S9</f>
        <v/>
      </c>
      <c r="V9" s="13">
        <f>L9+N9+P9+R9+T9</f>
        <v/>
      </c>
      <c r="W9" s="13">
        <f>V9-U9</f>
        <v/>
      </c>
      <c r="X9" s="13">
        <f>J9*'Master Data'!F8</f>
        <v/>
      </c>
      <c r="Y9" s="13">
        <f>IF(I9&gt;=2,'Master Data'!B7,0)</f>
        <v/>
      </c>
      <c r="Z9" s="13">
        <f>W9+X9+Y9</f>
        <v/>
      </c>
      <c r="AA9" s="14">
        <f>IF(V9&gt;0,Z9/V9,0)</f>
        <v/>
      </c>
    </row>
    <row r="10">
      <c r="A10" s="15" t="n">
        <v>6</v>
      </c>
      <c r="B10" s="15" t="inlineStr">
        <is>
          <t>B2</t>
        </is>
      </c>
      <c r="C10" s="15" t="inlineStr">
        <is>
          <t>5박 7일</t>
        </is>
      </c>
      <c r="D10" s="15" t="inlineStr">
        <is>
          <t>트럼프 + 샌드파이퍼 베스트</t>
        </is>
      </c>
      <c r="E10" s="15" t="n">
        <v>5</v>
      </c>
      <c r="F10" s="15" t="n">
        <v>7</v>
      </c>
      <c r="G10" s="15" t="n">
        <v>4</v>
      </c>
      <c r="H10" s="15" t="n">
        <v>2</v>
      </c>
      <c r="I10" s="15" t="n">
        <v>2</v>
      </c>
      <c r="J10" s="15" t="n">
        <v>0</v>
      </c>
      <c r="K10" s="6">
        <f>'Master Data'!B6*H10+'Master Data'!B7*I10+'Master Data'!B8*J10</f>
        <v/>
      </c>
      <c r="L10" s="6">
        <f>'Master Data'!C6*H10+'Master Data'!C7*I10+'Master Data'!C8*J10</f>
        <v/>
      </c>
      <c r="M10" s="6">
        <f>E10*'Master Data'!B12</f>
        <v/>
      </c>
      <c r="N10" s="6">
        <f>E10*'Master Data'!C12</f>
        <v/>
      </c>
      <c r="O10" s="6">
        <f>F10*'Master Data'!B16</f>
        <v/>
      </c>
      <c r="P10" s="6">
        <f>F10*'Master Data'!C16</f>
        <v/>
      </c>
      <c r="Q10" s="6">
        <f>F10*('Master Data'!B21+'Master Data'!B22)+(F10-'Master Data'!B32)*'Master Data'!B23+'Master Data'!B32*'Master Data'!B24+'Master Data'!B17</f>
        <v/>
      </c>
      <c r="R10" s="6">
        <f>F10*('Master Data'!C21+'Master Data'!C22)+(F10-'Master Data'!B32)*'Master Data'!C23+'Master Data'!B32*'Master Data'!C24+'Master Data'!C17</f>
        <v/>
      </c>
      <c r="S10" s="6">
        <f>F10*'Master Data'!B28</f>
        <v/>
      </c>
      <c r="T10" s="6">
        <f>F10*'Master Data'!C28</f>
        <v/>
      </c>
      <c r="U10" s="6">
        <f>K10+M10+O10+Q10+S10</f>
        <v/>
      </c>
      <c r="V10" s="6">
        <f>L10+N10+P10+R10+T10</f>
        <v/>
      </c>
      <c r="W10" s="6">
        <f>V10-U10</f>
        <v/>
      </c>
      <c r="X10" s="6">
        <f>J10*'Master Data'!F8</f>
        <v/>
      </c>
      <c r="Y10" s="6">
        <f>IF(I10&gt;=2,'Master Data'!B7,0)</f>
        <v/>
      </c>
      <c r="Z10" s="6">
        <f>W10+X10+Y10</f>
        <v/>
      </c>
      <c r="AA10" s="16">
        <f>IF(V10&gt;0,Z10/V10,0)</f>
        <v/>
      </c>
    </row>
    <row r="11">
      <c r="A11" s="12" t="n">
        <v>7</v>
      </c>
      <c r="B11" s="12" t="inlineStr">
        <is>
          <t>B3</t>
        </is>
      </c>
      <c r="C11" s="12" t="inlineStr">
        <is>
          <t>5박 7일</t>
        </is>
      </c>
      <c r="D11" s="12" t="inlineStr">
        <is>
          <t>트럼프 + 히든밸리 시그니처</t>
        </is>
      </c>
      <c r="E11" s="12" t="n">
        <v>5</v>
      </c>
      <c r="F11" s="12" t="n">
        <v>7</v>
      </c>
      <c r="G11" s="12" t="n">
        <v>4</v>
      </c>
      <c r="H11" s="12" t="n">
        <v>2</v>
      </c>
      <c r="I11" s="12" t="n">
        <v>0</v>
      </c>
      <c r="J11" s="12" t="n">
        <v>2</v>
      </c>
      <c r="K11" s="13">
        <f>'Master Data'!B6*H11+'Master Data'!B7*I11+'Master Data'!B8*J11</f>
        <v/>
      </c>
      <c r="L11" s="13">
        <f>'Master Data'!C6*H11+'Master Data'!C7*I11+'Master Data'!C8*J11</f>
        <v/>
      </c>
      <c r="M11" s="13">
        <f>E11*'Master Data'!B12</f>
        <v/>
      </c>
      <c r="N11" s="13">
        <f>E11*'Master Data'!C12</f>
        <v/>
      </c>
      <c r="O11" s="13">
        <f>F11*'Master Data'!B16</f>
        <v/>
      </c>
      <c r="P11" s="13">
        <f>F11*'Master Data'!C16</f>
        <v/>
      </c>
      <c r="Q11" s="13">
        <f>F11*('Master Data'!B21+'Master Data'!B22)+(F11-'Master Data'!B32)*'Master Data'!B23+'Master Data'!B32*'Master Data'!B24+'Master Data'!B17</f>
        <v/>
      </c>
      <c r="R11" s="13">
        <f>F11*('Master Data'!C21+'Master Data'!C22)+(F11-'Master Data'!B32)*'Master Data'!C23+'Master Data'!B32*'Master Data'!C24+'Master Data'!C17</f>
        <v/>
      </c>
      <c r="S11" s="13">
        <f>F11*'Master Data'!B28</f>
        <v/>
      </c>
      <c r="T11" s="13">
        <f>F11*'Master Data'!C28</f>
        <v/>
      </c>
      <c r="U11" s="13">
        <f>K11+M11+O11+Q11+S11</f>
        <v/>
      </c>
      <c r="V11" s="13">
        <f>L11+N11+P11+R11+T11</f>
        <v/>
      </c>
      <c r="W11" s="13">
        <f>V11-U11</f>
        <v/>
      </c>
      <c r="X11" s="13">
        <f>J11*'Master Data'!F8</f>
        <v/>
      </c>
      <c r="Y11" s="13">
        <f>IF(I11&gt;=2,'Master Data'!B7,0)</f>
        <v/>
      </c>
      <c r="Z11" s="13">
        <f>W11+X11+Y11</f>
        <v/>
      </c>
      <c r="AA11" s="14">
        <f>IF(V11&gt;0,Z11/V11,0)</f>
        <v/>
      </c>
    </row>
    <row r="12">
      <c r="A12" s="15" t="n">
        <v>8</v>
      </c>
      <c r="B12" s="15" t="inlineStr">
        <is>
          <t>B4</t>
        </is>
      </c>
      <c r="C12" s="15" t="inlineStr">
        <is>
          <t>5박 7일</t>
        </is>
      </c>
      <c r="D12" s="15" t="inlineStr">
        <is>
          <t>트럼프+샌드+히든 3색</t>
        </is>
      </c>
      <c r="E12" s="15" t="n">
        <v>5</v>
      </c>
      <c r="F12" s="15" t="n">
        <v>7</v>
      </c>
      <c r="G12" s="15" t="n">
        <v>4</v>
      </c>
      <c r="H12" s="15" t="n">
        <v>2</v>
      </c>
      <c r="I12" s="15" t="n">
        <v>1</v>
      </c>
      <c r="J12" s="15" t="n">
        <v>1</v>
      </c>
      <c r="K12" s="6">
        <f>'Master Data'!B6*H12+'Master Data'!B7*I12+'Master Data'!B8*J12</f>
        <v/>
      </c>
      <c r="L12" s="6">
        <f>'Master Data'!C6*H12+'Master Data'!C7*I12+'Master Data'!C8*J12</f>
        <v/>
      </c>
      <c r="M12" s="6">
        <f>E12*'Master Data'!B12</f>
        <v/>
      </c>
      <c r="N12" s="6">
        <f>E12*'Master Data'!C12</f>
        <v/>
      </c>
      <c r="O12" s="6">
        <f>F12*'Master Data'!B16</f>
        <v/>
      </c>
      <c r="P12" s="6">
        <f>F12*'Master Data'!C16</f>
        <v/>
      </c>
      <c r="Q12" s="6">
        <f>F12*('Master Data'!B21+'Master Data'!B22)+(F12-'Master Data'!B32)*'Master Data'!B23+'Master Data'!B32*'Master Data'!B24+'Master Data'!B17</f>
        <v/>
      </c>
      <c r="R12" s="6">
        <f>F12*('Master Data'!C21+'Master Data'!C22)+(F12-'Master Data'!B32)*'Master Data'!C23+'Master Data'!B32*'Master Data'!C24+'Master Data'!C17</f>
        <v/>
      </c>
      <c r="S12" s="6">
        <f>F12*'Master Data'!B28</f>
        <v/>
      </c>
      <c r="T12" s="6">
        <f>F12*'Master Data'!C28</f>
        <v/>
      </c>
      <c r="U12" s="6">
        <f>K12+M12+O12+Q12+S12</f>
        <v/>
      </c>
      <c r="V12" s="6">
        <f>L12+N12+P12+R12+T12</f>
        <v/>
      </c>
      <c r="W12" s="6">
        <f>V12-U12</f>
        <v/>
      </c>
      <c r="X12" s="6">
        <f>J12*'Master Data'!F8</f>
        <v/>
      </c>
      <c r="Y12" s="6">
        <f>IF(I12&gt;=2,'Master Data'!B7,0)</f>
        <v/>
      </c>
      <c r="Z12" s="6">
        <f>W12+X12+Y12</f>
        <v/>
      </c>
      <c r="AA12" s="16">
        <f>IF(V12&gt;0,Z12/V12,0)</f>
        <v/>
      </c>
    </row>
    <row r="13">
      <c r="A13" s="12" t="n">
        <v>9</v>
      </c>
      <c r="B13" s="12" t="inlineStr">
        <is>
          <t>C1</t>
        </is>
      </c>
      <c r="C13" s="12" t="inlineStr">
        <is>
          <t>7박 8일</t>
        </is>
      </c>
      <c r="D13" s="12" t="inlineStr">
        <is>
          <t>트럼프 얼티밋</t>
        </is>
      </c>
      <c r="E13" s="12" t="n">
        <v>7</v>
      </c>
      <c r="F13" s="12" t="n">
        <v>8</v>
      </c>
      <c r="G13" s="12" t="n">
        <v>5</v>
      </c>
      <c r="H13" s="12" t="n">
        <v>5</v>
      </c>
      <c r="I13" s="12" t="n">
        <v>0</v>
      </c>
      <c r="J13" s="12" t="n">
        <v>0</v>
      </c>
      <c r="K13" s="13">
        <f>'Master Data'!B6*H13+'Master Data'!B7*I13+'Master Data'!B8*J13</f>
        <v/>
      </c>
      <c r="L13" s="13">
        <f>'Master Data'!C6*H13+'Master Data'!C7*I13+'Master Data'!C8*J13</f>
        <v/>
      </c>
      <c r="M13" s="13">
        <f>E13*'Master Data'!B12</f>
        <v/>
      </c>
      <c r="N13" s="13">
        <f>E13*'Master Data'!C12</f>
        <v/>
      </c>
      <c r="O13" s="13">
        <f>F13*'Master Data'!B16</f>
        <v/>
      </c>
      <c r="P13" s="13">
        <f>F13*'Master Data'!C16</f>
        <v/>
      </c>
      <c r="Q13" s="13">
        <f>F13*('Master Data'!B21+'Master Data'!B22)+(F13-'Master Data'!B32)*'Master Data'!B23+'Master Data'!B32*'Master Data'!B24+'Master Data'!B17</f>
        <v/>
      </c>
      <c r="R13" s="13">
        <f>F13*('Master Data'!C21+'Master Data'!C22)+(F13-'Master Data'!B32)*'Master Data'!C23+'Master Data'!B32*'Master Data'!C24+'Master Data'!C17</f>
        <v/>
      </c>
      <c r="S13" s="13">
        <f>F13*'Master Data'!B28</f>
        <v/>
      </c>
      <c r="T13" s="13">
        <f>F13*'Master Data'!C28</f>
        <v/>
      </c>
      <c r="U13" s="13">
        <f>K13+M13+O13+Q13+S13</f>
        <v/>
      </c>
      <c r="V13" s="13">
        <f>L13+N13+P13+R13+T13</f>
        <v/>
      </c>
      <c r="W13" s="13">
        <f>V13-U13</f>
        <v/>
      </c>
      <c r="X13" s="13">
        <f>J13*'Master Data'!F8</f>
        <v/>
      </c>
      <c r="Y13" s="13">
        <f>IF(I13&gt;=2,'Master Data'!B7,0)</f>
        <v/>
      </c>
      <c r="Z13" s="13">
        <f>W13+X13+Y13</f>
        <v/>
      </c>
      <c r="AA13" s="14">
        <f>IF(V13&gt;0,Z13/V13,0)</f>
        <v/>
      </c>
    </row>
    <row r="14">
      <c r="A14" s="15" t="n">
        <v>10</v>
      </c>
      <c r="B14" s="15" t="inlineStr">
        <is>
          <t>C2</t>
        </is>
      </c>
      <c r="C14" s="15" t="inlineStr">
        <is>
          <t>7박 8일</t>
        </is>
      </c>
      <c r="D14" s="15" t="inlineStr">
        <is>
          <t>트럼프+샌드파이퍼 마스터</t>
        </is>
      </c>
      <c r="E14" s="15" t="n">
        <v>7</v>
      </c>
      <c r="F14" s="15" t="n">
        <v>8</v>
      </c>
      <c r="G14" s="15" t="n">
        <v>5</v>
      </c>
      <c r="H14" s="15" t="n">
        <v>3</v>
      </c>
      <c r="I14" s="15" t="n">
        <v>2</v>
      </c>
      <c r="J14" s="15" t="n">
        <v>0</v>
      </c>
      <c r="K14" s="6">
        <f>'Master Data'!B6*H14+'Master Data'!B7*I14+'Master Data'!B8*J14</f>
        <v/>
      </c>
      <c r="L14" s="6">
        <f>'Master Data'!C6*H14+'Master Data'!C7*I14+'Master Data'!C8*J14</f>
        <v/>
      </c>
      <c r="M14" s="6">
        <f>E14*'Master Data'!B12</f>
        <v/>
      </c>
      <c r="N14" s="6">
        <f>E14*'Master Data'!C12</f>
        <v/>
      </c>
      <c r="O14" s="6">
        <f>F14*'Master Data'!B16</f>
        <v/>
      </c>
      <c r="P14" s="6">
        <f>F14*'Master Data'!C16</f>
        <v/>
      </c>
      <c r="Q14" s="6">
        <f>F14*('Master Data'!B21+'Master Data'!B22)+(F14-'Master Data'!B32)*'Master Data'!B23+'Master Data'!B32*'Master Data'!B24+'Master Data'!B17</f>
        <v/>
      </c>
      <c r="R14" s="6">
        <f>F14*('Master Data'!C21+'Master Data'!C22)+(F14-'Master Data'!B32)*'Master Data'!C23+'Master Data'!B32*'Master Data'!C24+'Master Data'!C17</f>
        <v/>
      </c>
      <c r="S14" s="6">
        <f>F14*'Master Data'!B28</f>
        <v/>
      </c>
      <c r="T14" s="6">
        <f>F14*'Master Data'!C28</f>
        <v/>
      </c>
      <c r="U14" s="6">
        <f>K14+M14+O14+Q14+S14</f>
        <v/>
      </c>
      <c r="V14" s="6">
        <f>L14+N14+P14+R14+T14</f>
        <v/>
      </c>
      <c r="W14" s="6">
        <f>V14-U14</f>
        <v/>
      </c>
      <c r="X14" s="6">
        <f>J14*'Master Data'!F8</f>
        <v/>
      </c>
      <c r="Y14" s="6">
        <f>IF(I14&gt;=2,'Master Data'!B7,0)</f>
        <v/>
      </c>
      <c r="Z14" s="6">
        <f>W14+X14+Y14</f>
        <v/>
      </c>
      <c r="AA14" s="16">
        <f>IF(V14&gt;0,Z14/V14,0)</f>
        <v/>
      </c>
    </row>
    <row r="15">
      <c r="A15" s="12" t="n">
        <v>11</v>
      </c>
      <c r="B15" s="12" t="inlineStr">
        <is>
          <t>C3</t>
        </is>
      </c>
      <c r="C15" s="12" t="inlineStr">
        <is>
          <t>7박 8일</t>
        </is>
      </c>
      <c r="D15" s="12" t="inlineStr">
        <is>
          <t>트럼프+히든밸리 챔피언</t>
        </is>
      </c>
      <c r="E15" s="12" t="n">
        <v>7</v>
      </c>
      <c r="F15" s="12" t="n">
        <v>8</v>
      </c>
      <c r="G15" s="12" t="n">
        <v>5</v>
      </c>
      <c r="H15" s="12" t="n">
        <v>3</v>
      </c>
      <c r="I15" s="12" t="n">
        <v>0</v>
      </c>
      <c r="J15" s="12" t="n">
        <v>2</v>
      </c>
      <c r="K15" s="13">
        <f>'Master Data'!B6*H15+'Master Data'!B7*I15+'Master Data'!B8*J15</f>
        <v/>
      </c>
      <c r="L15" s="13">
        <f>'Master Data'!C6*H15+'Master Data'!C7*I15+'Master Data'!C8*J15</f>
        <v/>
      </c>
      <c r="M15" s="13">
        <f>E15*'Master Data'!B12</f>
        <v/>
      </c>
      <c r="N15" s="13">
        <f>E15*'Master Data'!C12</f>
        <v/>
      </c>
      <c r="O15" s="13">
        <f>F15*'Master Data'!B16</f>
        <v/>
      </c>
      <c r="P15" s="13">
        <f>F15*'Master Data'!C16</f>
        <v/>
      </c>
      <c r="Q15" s="13">
        <f>F15*('Master Data'!B21+'Master Data'!B22)+(F15-'Master Data'!B32)*'Master Data'!B23+'Master Data'!B32*'Master Data'!B24+'Master Data'!B17</f>
        <v/>
      </c>
      <c r="R15" s="13">
        <f>F15*('Master Data'!C21+'Master Data'!C22)+(F15-'Master Data'!B32)*'Master Data'!C23+'Master Data'!B32*'Master Data'!C24+'Master Data'!C17</f>
        <v/>
      </c>
      <c r="S15" s="13">
        <f>F15*'Master Data'!B28</f>
        <v/>
      </c>
      <c r="T15" s="13">
        <f>F15*'Master Data'!C28</f>
        <v/>
      </c>
      <c r="U15" s="13">
        <f>K15+M15+O15+Q15+S15</f>
        <v/>
      </c>
      <c r="V15" s="13">
        <f>L15+N15+P15+R15+T15</f>
        <v/>
      </c>
      <c r="W15" s="13">
        <f>V15-U15</f>
        <v/>
      </c>
      <c r="X15" s="13">
        <f>J15*'Master Data'!F8</f>
        <v/>
      </c>
      <c r="Y15" s="13">
        <f>IF(I15&gt;=2,'Master Data'!B7,0)</f>
        <v/>
      </c>
      <c r="Z15" s="13">
        <f>W15+X15+Y15</f>
        <v/>
      </c>
      <c r="AA15" s="14">
        <f>IF(V15&gt;0,Z15/V15,0)</f>
        <v/>
      </c>
    </row>
    <row r="16">
      <c r="A16" s="15" t="n">
        <v>12</v>
      </c>
      <c r="B16" s="15" t="inlineStr">
        <is>
          <t>C4</t>
        </is>
      </c>
      <c r="C16" s="15" t="inlineStr">
        <is>
          <t>7박 8일</t>
        </is>
      </c>
      <c r="D16" s="15" t="inlineStr">
        <is>
          <t>트럼프+샌드+히든 풀하우스</t>
        </is>
      </c>
      <c r="E16" s="15" t="n">
        <v>7</v>
      </c>
      <c r="F16" s="15" t="n">
        <v>8</v>
      </c>
      <c r="G16" s="15" t="n">
        <v>5</v>
      </c>
      <c r="H16" s="15" t="n">
        <v>2</v>
      </c>
      <c r="I16" s="15" t="n">
        <v>2</v>
      </c>
      <c r="J16" s="15" t="n">
        <v>1</v>
      </c>
      <c r="K16" s="6">
        <f>'Master Data'!B6*H16+'Master Data'!B7*I16+'Master Data'!B8*J16</f>
        <v/>
      </c>
      <c r="L16" s="6">
        <f>'Master Data'!C6*H16+'Master Data'!C7*I16+'Master Data'!C8*J16</f>
        <v/>
      </c>
      <c r="M16" s="6">
        <f>E16*'Master Data'!B12</f>
        <v/>
      </c>
      <c r="N16" s="6">
        <f>E16*'Master Data'!C12</f>
        <v/>
      </c>
      <c r="O16" s="6">
        <f>F16*'Master Data'!B16</f>
        <v/>
      </c>
      <c r="P16" s="6">
        <f>F16*'Master Data'!C16</f>
        <v/>
      </c>
      <c r="Q16" s="6">
        <f>F16*('Master Data'!B21+'Master Data'!B22)+(F16-'Master Data'!B32)*'Master Data'!B23+'Master Data'!B32*'Master Data'!B24+'Master Data'!B17</f>
        <v/>
      </c>
      <c r="R16" s="6">
        <f>F16*('Master Data'!C21+'Master Data'!C22)+(F16-'Master Data'!B32)*'Master Data'!C23+'Master Data'!B32*'Master Data'!C24+'Master Data'!C17</f>
        <v/>
      </c>
      <c r="S16" s="6">
        <f>F16*'Master Data'!B28</f>
        <v/>
      </c>
      <c r="T16" s="6">
        <f>F16*'Master Data'!C28</f>
        <v/>
      </c>
      <c r="U16" s="6">
        <f>K16+M16+O16+Q16+S16</f>
        <v/>
      </c>
      <c r="V16" s="6">
        <f>L16+N16+P16+R16+T16</f>
        <v/>
      </c>
      <c r="W16" s="6">
        <f>V16-U16</f>
        <v/>
      </c>
      <c r="X16" s="6">
        <f>J16*'Master Data'!F8</f>
        <v/>
      </c>
      <c r="Y16" s="6">
        <f>IF(I16&gt;=2,'Master Data'!B7,0)</f>
        <v/>
      </c>
      <c r="Z16" s="6">
        <f>W16+X16+Y16</f>
        <v/>
      </c>
      <c r="AA16" s="16">
        <f>IF(V16&gt;0,Z16/V16,0)</f>
        <v/>
      </c>
    </row>
    <row r="17">
      <c r="A17" s="17" t="inlineStr">
        <is>
          <t>📊 12종 합계</t>
        </is>
      </c>
      <c r="B17" s="18" t="n"/>
      <c r="C17" s="18" t="n"/>
      <c r="D17" s="18" t="n"/>
      <c r="K17" s="19">
        <f>SUM(K5:K16)</f>
        <v/>
      </c>
      <c r="L17" s="19">
        <f>SUM(L5:L16)</f>
        <v/>
      </c>
      <c r="M17" s="19">
        <f>SUM(M5:M16)</f>
        <v/>
      </c>
      <c r="N17" s="19">
        <f>SUM(N5:N16)</f>
        <v/>
      </c>
      <c r="O17" s="19">
        <f>SUM(O5:O16)</f>
        <v/>
      </c>
      <c r="P17" s="19">
        <f>SUM(P5:P16)</f>
        <v/>
      </c>
      <c r="Q17" s="19">
        <f>SUM(Q5:Q16)</f>
        <v/>
      </c>
      <c r="R17" s="19">
        <f>SUM(R5:R16)</f>
        <v/>
      </c>
      <c r="S17" s="19">
        <f>SUM(S5:S16)</f>
        <v/>
      </c>
      <c r="T17" s="19">
        <f>SUM(T5:T16)</f>
        <v/>
      </c>
      <c r="U17" s="19">
        <f>SUM(U5:U16)</f>
        <v/>
      </c>
      <c r="V17" s="19">
        <f>SUM(V5:V16)</f>
        <v/>
      </c>
      <c r="W17" s="19">
        <f>SUM(W5:W16)</f>
        <v/>
      </c>
      <c r="X17" s="19">
        <f>SUM(X5:X16)</f>
        <v/>
      </c>
      <c r="Y17" s="19">
        <f>SUM(Y5:Y16)</f>
        <v/>
      </c>
      <c r="Z17" s="19">
        <f>SUM(Z5:Z16)</f>
        <v/>
      </c>
    </row>
    <row r="18">
      <c r="A18" s="9" t="inlineStr">
        <is>
          <t>📊 4인팀 합계 (×4)</t>
        </is>
      </c>
      <c r="U18" s="20">
        <f>U17*4</f>
        <v/>
      </c>
      <c r="V18" s="20">
        <f>V17*4</f>
        <v/>
      </c>
      <c r="W18" s="20">
        <f>W17*4</f>
        <v/>
      </c>
      <c r="Z18" s="20">
        <f>Z17*4</f>
        <v/>
      </c>
    </row>
  </sheetData>
  <mergeCells count="4">
    <mergeCell ref="A1:U1"/>
    <mergeCell ref="A17:D17"/>
    <mergeCell ref="A18:D18"/>
    <mergeCell ref="A2:U2"/>
  </mergeCells>
  <conditionalFormatting sqref="W5:W16">
    <cfRule type="dataBar" priority="1">
      <dataBar showValue="1">
        <cfvo type="min"/>
        <cfvo type="max"/>
        <color rgb="00d4af37"/>
      </dataBar>
    </cfRule>
  </conditionalFormatting>
  <conditionalFormatting sqref="Z5:Z16">
    <cfRule type="dataBar" priority="2">
      <dataBar showValue="1">
        <cfvo type="min"/>
        <cfvo type="max"/>
        <color rgb="001a3450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6100"/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2" customWidth="1" min="6" max="6"/>
    <col width="14" customWidth="1" min="7" max="7"/>
    <col width="14" customWidth="1" min="8" max="8"/>
  </cols>
  <sheetData>
    <row r="1">
      <c r="A1" s="1" t="inlineStr">
        <is>
          <t>결 TOUR — 수익 분석 요약</t>
        </is>
      </c>
    </row>
    <row r="3">
      <c r="A3" s="3" t="inlineStr">
        <is>
          <t>📅 일정별 평균 수익 비교</t>
        </is>
      </c>
    </row>
    <row r="4">
      <c r="A4" s="4" t="inlineStr">
        <is>
          <t>일정</t>
        </is>
      </c>
      <c r="B4" s="4" t="inlineStr">
        <is>
          <t>패키지수</t>
        </is>
      </c>
      <c r="C4" s="4" t="inlineStr">
        <is>
          <t>평균원가</t>
        </is>
      </c>
      <c r="D4" s="4" t="inlineStr">
        <is>
          <t>평균판매가</t>
        </is>
      </c>
      <c r="E4" s="4" t="inlineStr">
        <is>
          <t>평균이익</t>
        </is>
      </c>
      <c r="F4" s="4" t="inlineStr">
        <is>
          <t>평균마진율</t>
        </is>
      </c>
      <c r="G4" s="4" t="inlineStr">
        <is>
          <t>최고이익패키지</t>
        </is>
      </c>
      <c r="H4" s="4" t="inlineStr">
        <is>
          <t>최고이익</t>
        </is>
      </c>
    </row>
    <row r="5">
      <c r="A5" s="5" t="inlineStr">
        <is>
          <t>3박 4일</t>
        </is>
      </c>
      <c r="B5" s="15" t="n">
        <v>4</v>
      </c>
      <c r="C5" s="6">
        <f>AVERAGE('12 Packages'!U5:8)</f>
        <v/>
      </c>
      <c r="D5" s="6">
        <f>AVERAGE('12 Packages'!V5:8)</f>
        <v/>
      </c>
      <c r="E5" s="6">
        <f>AVERAGE('12 Packages'!Z5:8)</f>
        <v/>
      </c>
      <c r="F5" s="16">
        <f>AVERAGE('12 Packages'!AA5:8)</f>
        <v/>
      </c>
      <c r="G5" s="7" t="inlineStr"/>
      <c r="H5" s="6">
        <f>MAX('12 Packages'!Z5:8)</f>
        <v/>
      </c>
    </row>
    <row r="6">
      <c r="A6" s="5" t="inlineStr">
        <is>
          <t>5박 7일</t>
        </is>
      </c>
      <c r="B6" s="15" t="n">
        <v>4</v>
      </c>
      <c r="C6" s="6">
        <f>AVERAGE('12 Packages'!U9:12)</f>
        <v/>
      </c>
      <c r="D6" s="6">
        <f>AVERAGE('12 Packages'!V9:12)</f>
        <v/>
      </c>
      <c r="E6" s="6">
        <f>AVERAGE('12 Packages'!Z9:12)</f>
        <v/>
      </c>
      <c r="F6" s="16">
        <f>AVERAGE('12 Packages'!AA9:12)</f>
        <v/>
      </c>
      <c r="G6" s="7" t="inlineStr"/>
      <c r="H6" s="6">
        <f>MAX('12 Packages'!Z9:12)</f>
        <v/>
      </c>
    </row>
    <row r="7">
      <c r="A7" s="5" t="inlineStr">
        <is>
          <t>7박 8일</t>
        </is>
      </c>
      <c r="B7" s="15" t="n">
        <v>4</v>
      </c>
      <c r="C7" s="6">
        <f>AVERAGE('12 Packages'!U13:16)</f>
        <v/>
      </c>
      <c r="D7" s="6">
        <f>AVERAGE('12 Packages'!V13:16)</f>
        <v/>
      </c>
      <c r="E7" s="6">
        <f>AVERAGE('12 Packages'!Z13:16)</f>
        <v/>
      </c>
      <c r="F7" s="16">
        <f>AVERAGE('12 Packages'!AA13:16)</f>
        <v/>
      </c>
      <c r="G7" s="7" t="inlineStr"/>
      <c r="H7" s="6">
        <f>MAX('12 Packages'!Z13:16)</f>
        <v/>
      </c>
    </row>
    <row r="9">
      <c r="A9" s="3" t="inlineStr">
        <is>
          <t>🏆 추천 TOP 3 패키지</t>
        </is>
      </c>
    </row>
    <row r="10">
      <c r="A10" s="4" t="inlineStr">
        <is>
          <t>순위</t>
        </is>
      </c>
      <c r="B10" s="4" t="inlineStr">
        <is>
          <t>ID</t>
        </is>
      </c>
      <c r="C10" s="4" t="inlineStr">
        <is>
          <t>일정</t>
        </is>
      </c>
      <c r="D10" s="4" t="inlineStr">
        <is>
          <t>패키지명</t>
        </is>
      </c>
      <c r="E10" s="4" t="inlineStr">
        <is>
          <t>판매가</t>
        </is>
      </c>
      <c r="F10" s="4" t="inlineStr">
        <is>
          <t>원가</t>
        </is>
      </c>
      <c r="G10" s="4" t="inlineStr">
        <is>
          <t>순이익</t>
        </is>
      </c>
      <c r="H10" s="4" t="inlineStr">
        <is>
          <t>마진율</t>
        </is>
      </c>
    </row>
    <row r="11">
      <c r="A11" s="15" t="n">
        <v>1</v>
      </c>
      <c r="B11" s="5" t="inlineStr">
        <is>
          <t>B1 (5박7일)</t>
        </is>
      </c>
      <c r="C11" s="7">
        <f>'12 Packages'!D9</f>
        <v/>
      </c>
      <c r="D11" s="6">
        <f>'12 Packages'!V9</f>
        <v/>
      </c>
      <c r="E11" s="6">
        <f>'12 Packages'!U9</f>
        <v/>
      </c>
      <c r="F11" s="21">
        <f>'12 Packages'!Z9</f>
        <v/>
      </c>
      <c r="G11" s="16">
        <f>'12 Packages'!AA9</f>
        <v/>
      </c>
      <c r="H11" s="6">
        <f>'12 Packages'!Z9*4</f>
        <v/>
      </c>
    </row>
    <row r="12">
      <c r="A12" s="15" t="n">
        <v>2</v>
      </c>
      <c r="B12" s="5" t="inlineStr">
        <is>
          <t>C1 (7박8일)</t>
        </is>
      </c>
      <c r="C12" s="7">
        <f>'12 Packages'!D13</f>
        <v/>
      </c>
      <c r="D12" s="6">
        <f>'12 Packages'!V13</f>
        <v/>
      </c>
      <c r="E12" s="6">
        <f>'12 Packages'!U13</f>
        <v/>
      </c>
      <c r="F12" s="21">
        <f>'12 Packages'!Z13</f>
        <v/>
      </c>
      <c r="G12" s="16">
        <f>'12 Packages'!AA13</f>
        <v/>
      </c>
      <c r="H12" s="19" t="inlineStr">
        <is>
          <t>4인팀이익</t>
        </is>
      </c>
    </row>
    <row r="13">
      <c r="A13" s="15" t="n">
        <v>3</v>
      </c>
      <c r="B13" s="5" t="inlineStr">
        <is>
          <t>A1 (3박4일)</t>
        </is>
      </c>
      <c r="C13" s="7">
        <f>'12 Packages'!D5</f>
        <v/>
      </c>
      <c r="D13" s="6">
        <f>'12 Packages'!V5</f>
        <v/>
      </c>
      <c r="E13" s="6">
        <f>'12 Packages'!U5</f>
        <v/>
      </c>
      <c r="F13" s="21">
        <f>'12 Packages'!Z5</f>
        <v/>
      </c>
      <c r="G13" s="16">
        <f>'12 Packages'!AA5</f>
        <v/>
      </c>
      <c r="H13" s="6">
        <f>'12 Packages'!Z5*4</f>
        <v/>
      </c>
    </row>
    <row r="15">
      <c r="A15" s="3" t="inlineStr">
        <is>
          <t>⛳ 코스조합별 평균 마진율</t>
        </is>
      </c>
    </row>
    <row r="16">
      <c r="A16" s="4" t="inlineStr">
        <is>
          <t>코스조합</t>
        </is>
      </c>
      <c r="B16" s="4" t="inlineStr">
        <is>
          <t>패키지수</t>
        </is>
      </c>
      <c r="C16" s="4" t="inlineStr">
        <is>
          <t>평균원가</t>
        </is>
      </c>
      <c r="D16" s="4" t="inlineStr">
        <is>
          <t>평균판매</t>
        </is>
      </c>
      <c r="E16" s="4" t="inlineStr">
        <is>
          <t>평균이익</t>
        </is>
      </c>
      <c r="F16" s="4" t="inlineStr">
        <is>
          <t>평균마진</t>
        </is>
      </c>
      <c r="G16" s="4" t="inlineStr">
        <is>
          <t>Stamp+</t>
        </is>
      </c>
      <c r="H16" s="4" t="inlineStr">
        <is>
          <t>리플레이+</t>
        </is>
      </c>
    </row>
    <row r="17">
      <c r="A17" s="5" t="inlineStr">
        <is>
          <t>Trump Only</t>
        </is>
      </c>
      <c r="B17" s="15" t="n">
        <v>4</v>
      </c>
      <c r="C17" s="6">
        <f>AVERAGE(('12 Packages'!U{5,8,9,13}))</f>
        <v/>
      </c>
      <c r="D17" s="6">
        <f>AVERAGE(('12 Packages'!V{5,8,9,13}))</f>
        <v/>
      </c>
      <c r="E17" s="6">
        <f>AVERAGE(('12 Packages'!Z{5,8,9,13}))</f>
        <v/>
      </c>
      <c r="F17" s="16">
        <f>AVERAGE(('12 Packages'!AA{5,8,9,13}))</f>
        <v/>
      </c>
      <c r="G17" s="6">
        <f>AVERAGE(('12 Packages'!X{5,8,9,13}))</f>
        <v/>
      </c>
      <c r="H17" s="6">
        <f>AVERAGE(('12 Packages'!Y{5,8,9,13}))</f>
        <v/>
      </c>
    </row>
    <row r="18">
      <c r="A18" s="5" t="inlineStr">
        <is>
          <t>Trump+Sandpiper</t>
        </is>
      </c>
      <c r="B18" s="15" t="n">
        <v>3</v>
      </c>
      <c r="C18" s="6">
        <f>AVERAGE(('12 Packages'!U{6,10,14}))</f>
        <v/>
      </c>
      <c r="D18" s="6">
        <f>AVERAGE(('12 Packages'!V{6,10,14}))</f>
        <v/>
      </c>
      <c r="E18" s="6">
        <f>AVERAGE(('12 Packages'!Z{6,10,14}))</f>
        <v/>
      </c>
      <c r="F18" s="16">
        <f>AVERAGE(('12 Packages'!AA{6,10,14}))</f>
        <v/>
      </c>
      <c r="G18" s="6">
        <f>AVERAGE(('12 Packages'!X{6,10,14}))</f>
        <v/>
      </c>
      <c r="H18" s="6">
        <f>AVERAGE(('12 Packages'!Y{6,10,14}))</f>
        <v/>
      </c>
    </row>
    <row r="19">
      <c r="A19" s="5" t="inlineStr">
        <is>
          <t>Trump+HiddenValley</t>
        </is>
      </c>
      <c r="B19" s="15" t="n">
        <v>3</v>
      </c>
      <c r="C19" s="6">
        <f>AVERAGE(('12 Packages'!U{7,11,15}))</f>
        <v/>
      </c>
      <c r="D19" s="6">
        <f>AVERAGE(('12 Packages'!V{7,11,15}))</f>
        <v/>
      </c>
      <c r="E19" s="6">
        <f>AVERAGE(('12 Packages'!Z{7,11,15}))</f>
        <v/>
      </c>
      <c r="F19" s="16">
        <f>AVERAGE(('12 Packages'!AA{7,11,15}))</f>
        <v/>
      </c>
      <c r="G19" s="6">
        <f>AVERAGE(('12 Packages'!X{7,11,15}))</f>
        <v/>
      </c>
      <c r="H19" s="6">
        <f>AVERAGE(('12 Packages'!Y{7,11,15}))</f>
        <v/>
      </c>
    </row>
    <row r="20">
      <c r="A20" s="5" t="inlineStr">
        <is>
          <t>Trump+Sands+Hidden</t>
        </is>
      </c>
      <c r="B20" s="15" t="n">
        <v>2</v>
      </c>
      <c r="C20" s="6">
        <f>AVERAGE(('12 Packages'!U{12,16}))</f>
        <v/>
      </c>
      <c r="D20" s="6">
        <f>AVERAGE(('12 Packages'!V{12,16}))</f>
        <v/>
      </c>
      <c r="E20" s="6">
        <f>AVERAGE(('12 Packages'!Z{12,16}))</f>
        <v/>
      </c>
      <c r="F20" s="16">
        <f>AVERAGE(('12 Packages'!AA{12,16}))</f>
        <v/>
      </c>
      <c r="G20" s="6">
        <f>AVERAGE(('12 Packages'!X{12,16}))</f>
        <v/>
      </c>
      <c r="H20" s="6">
        <f>AVERAGE(('12 Packages'!Y{12,16}))</f>
        <v/>
      </c>
    </row>
    <row r="22">
      <c r="A22" s="3" t="inlineStr">
        <is>
          <t>📊 12종 패키지 수익 비교</t>
        </is>
      </c>
    </row>
    <row r="23">
      <c r="A23" s="4" t="inlineStr">
        <is>
          <t>패키지</t>
        </is>
      </c>
      <c r="B23" s="4" t="inlineStr">
        <is>
          <t>총판매가</t>
        </is>
      </c>
      <c r="C23" s="4" t="inlineStr">
        <is>
          <t>총원가</t>
        </is>
      </c>
      <c r="D23" s="4" t="inlineStr">
        <is>
          <t>순이익</t>
        </is>
      </c>
      <c r="E23" s="4" t="inlineStr"/>
      <c r="F23" s="4" t="inlineStr"/>
      <c r="G23" s="4" t="inlineStr"/>
      <c r="H23" s="4" t="inlineStr"/>
    </row>
    <row r="24">
      <c r="A24" s="7" t="inlineStr">
        <is>
          <t>A1 트럼프 익스클루시브</t>
        </is>
      </c>
      <c r="B24" s="6">
        <f>'12 Packages'!V5</f>
        <v/>
      </c>
      <c r="C24" s="6">
        <f>'12 Packages'!U5</f>
        <v/>
      </c>
      <c r="D24" s="6">
        <f>'12 Packages'!Z5</f>
        <v/>
      </c>
    </row>
    <row r="25">
      <c r="A25" s="7" t="inlineStr">
        <is>
          <t>A2 트럼프 + 샌드파이퍼 오션뷰</t>
        </is>
      </c>
      <c r="B25" s="6">
        <f>'12 Packages'!V6</f>
        <v/>
      </c>
      <c r="C25" s="6">
        <f>'12 Packages'!U6</f>
        <v/>
      </c>
      <c r="D25" s="6">
        <f>'12 Packages'!Z6</f>
        <v/>
      </c>
    </row>
    <row r="26">
      <c r="A26" s="7" t="inlineStr">
        <is>
          <t>A3 트럼프 + 히든밸리</t>
        </is>
      </c>
      <c r="B26" s="6">
        <f>'12 Packages'!V7</f>
        <v/>
      </c>
      <c r="C26" s="6">
        <f>'12 Packages'!U7</f>
        <v/>
      </c>
      <c r="D26" s="6">
        <f>'12 Packages'!Z7</f>
        <v/>
      </c>
    </row>
    <row r="27">
      <c r="A27" s="7" t="inlineStr">
        <is>
          <t>A4 트럼프 인텐시브 + LA</t>
        </is>
      </c>
      <c r="B27" s="6">
        <f>'12 Packages'!V8</f>
        <v/>
      </c>
      <c r="C27" s="6">
        <f>'12 Packages'!U8</f>
        <v/>
      </c>
      <c r="D27" s="6">
        <f>'12 Packages'!Z8</f>
        <v/>
      </c>
    </row>
    <row r="28">
      <c r="A28" s="7" t="inlineStr">
        <is>
          <t>B1 트럼프 그랜드슬램</t>
        </is>
      </c>
      <c r="B28" s="6">
        <f>'12 Packages'!V9</f>
        <v/>
      </c>
      <c r="C28" s="6">
        <f>'12 Packages'!U9</f>
        <v/>
      </c>
      <c r="D28" s="6">
        <f>'12 Packages'!Z9</f>
        <v/>
      </c>
    </row>
    <row r="29">
      <c r="A29" s="7" t="inlineStr">
        <is>
          <t>B2 트럼프 + 샌드파이퍼 베스트</t>
        </is>
      </c>
      <c r="B29" s="6">
        <f>'12 Packages'!V10</f>
        <v/>
      </c>
      <c r="C29" s="6">
        <f>'12 Packages'!U10</f>
        <v/>
      </c>
      <c r="D29" s="6">
        <f>'12 Packages'!Z10</f>
        <v/>
      </c>
    </row>
    <row r="30">
      <c r="A30" s="7" t="inlineStr">
        <is>
          <t>B3 트럼프 + 히든밸리 시그니처</t>
        </is>
      </c>
      <c r="B30" s="6">
        <f>'12 Packages'!V11</f>
        <v/>
      </c>
      <c r="C30" s="6">
        <f>'12 Packages'!U11</f>
        <v/>
      </c>
      <c r="D30" s="6">
        <f>'12 Packages'!Z11</f>
        <v/>
      </c>
    </row>
    <row r="31">
      <c r="A31" s="7" t="inlineStr">
        <is>
          <t>B4 트럼프+샌드+히든 3색</t>
        </is>
      </c>
      <c r="B31" s="6">
        <f>'12 Packages'!V12</f>
        <v/>
      </c>
      <c r="C31" s="6">
        <f>'12 Packages'!U12</f>
        <v/>
      </c>
      <c r="D31" s="6">
        <f>'12 Packages'!Z12</f>
        <v/>
      </c>
    </row>
    <row r="32">
      <c r="A32" s="7" t="inlineStr">
        <is>
          <t>C1 트럼프 얼티밋</t>
        </is>
      </c>
      <c r="B32" s="6">
        <f>'12 Packages'!V13</f>
        <v/>
      </c>
      <c r="C32" s="6">
        <f>'12 Packages'!U13</f>
        <v/>
      </c>
      <c r="D32" s="6">
        <f>'12 Packages'!Z13</f>
        <v/>
      </c>
    </row>
    <row r="33">
      <c r="A33" s="7" t="inlineStr">
        <is>
          <t>C2 트럼프+샌드파이퍼 마스터</t>
        </is>
      </c>
      <c r="B33" s="6">
        <f>'12 Packages'!V14</f>
        <v/>
      </c>
      <c r="C33" s="6">
        <f>'12 Packages'!U14</f>
        <v/>
      </c>
      <c r="D33" s="6">
        <f>'12 Packages'!Z14</f>
        <v/>
      </c>
    </row>
    <row r="34">
      <c r="A34" s="7" t="inlineStr">
        <is>
          <t>C3 트럼프+히든밸리 챔피언</t>
        </is>
      </c>
      <c r="B34" s="6">
        <f>'12 Packages'!V15</f>
        <v/>
      </c>
      <c r="C34" s="6">
        <f>'12 Packages'!U15</f>
        <v/>
      </c>
      <c r="D34" s="6">
        <f>'12 Packages'!Z15</f>
        <v/>
      </c>
    </row>
    <row r="35">
      <c r="A35" s="7" t="inlineStr">
        <is>
          <t>C4 트럼프+샌드+히든 풀하우스</t>
        </is>
      </c>
      <c r="B35" s="6">
        <f>'12 Packages'!V16</f>
        <v/>
      </c>
      <c r="C35" s="6">
        <f>'12 Packages'!U16</f>
        <v/>
      </c>
      <c r="D35" s="6">
        <f>'12 Packages'!Z16</f>
        <v/>
      </c>
    </row>
  </sheetData>
  <mergeCells count="5">
    <mergeCell ref="A9:H9"/>
    <mergeCell ref="A3:H3"/>
    <mergeCell ref="A15:H15"/>
    <mergeCell ref="A1:H1"/>
    <mergeCell ref="A22:H2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2026-05-19T20:58:56Z</dcterms:created>
  <dcterms:modified xmlns:dcterms="http://purl.org/dc/terms/" xmlns:xsi="http://www.w3.org/2001/XMLSchema-instance" xsi:type="dcterms:W3CDTF">2026-05-19T20:58:56Z</dcterms:modified>
</cp:coreProperties>
</file>