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Data" sheetId="1" state="visible" r:id="rId1"/>
    <sheet xmlns:r="http://schemas.openxmlformats.org/officeDocument/2006/relationships" name="12 Packages" sheetId="2" state="visible" r:id="rId2"/>
    <sheet xmlns:r="http://schemas.openxmlformats.org/officeDocument/2006/relationships" name="Profit 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8">
    <font>
      <name val="Calibri"/>
      <family val="2"/>
      <color theme="1"/>
      <sz val="11"/>
      <scheme val="minor"/>
    </font>
    <font>
      <b val="1"/>
      <color rgb="001a3450"/>
      <sz val="15"/>
    </font>
    <font>
      <b val="1"/>
      <color rgb="00cc0000"/>
      <sz val="10"/>
    </font>
    <font>
      <b val="1"/>
      <color rgb="001a3450"/>
      <sz val="12"/>
    </font>
    <font>
      <b val="1"/>
      <color rgb="00FFFFFF"/>
      <sz val="10"/>
    </font>
    <font>
      <b val="1"/>
      <sz val="10"/>
    </font>
    <font>
      <sz val="10"/>
    </font>
    <font>
      <b val="1"/>
      <color rgb="00006100"/>
      <sz val="10"/>
    </font>
  </fonts>
  <fills count="6">
    <fill>
      <patternFill/>
    </fill>
    <fill>
      <patternFill patternType="gray125"/>
    </fill>
    <fill>
      <patternFill patternType="solid">
        <fgColor rgb="001a3450"/>
        <bgColor rgb="001a3450"/>
      </patternFill>
    </fill>
    <fill>
      <patternFill patternType="solid">
        <fgColor rgb="00f5e6c8"/>
        <bgColor rgb="00f5e6c8"/>
      </patternFill>
    </fill>
    <fill>
      <patternFill patternType="solid">
        <fgColor rgb="00c6efce"/>
        <bgColor rgb="00c6efce"/>
      </patternFill>
    </fill>
    <fill>
      <patternFill patternType="solid">
        <fgColor rgb="00d4af37"/>
        <bgColor rgb="00d4af3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164" fontId="7" fillId="3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wrapText="1"/>
    </xf>
    <xf numFmtId="165" fontId="6" fillId="4" borderId="1" applyAlignment="1" pivotButton="0" quotePrefix="0" xfId="0">
      <alignment horizontal="center" vertical="center" wrapText="1"/>
    </xf>
    <xf numFmtId="0" fontId="4" fillId="2" borderId="0" pivotButton="0" quotePrefix="0" xfId="0"/>
    <xf numFmtId="164" fontId="4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5" borderId="0" pivotButton="0" quotePrefix="0" xfId="0"/>
    <xf numFmtId="164" fontId="5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164" fontId="0" fillId="3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4" fontId="7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a3450"/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2" customWidth="1" min="4" max="4"/>
    <col width="38" customWidth="1" min="5" max="5"/>
    <col width="15" customWidth="1" min="6" max="6"/>
    <col width="18" customWidth="1" min="7" max="7"/>
  </cols>
  <sheetData>
    <row r="1">
      <c r="A1" s="1" t="inlineStr">
        <is>
          <t>📊 MASTER DATA — 모든 비용 파라미터</t>
        </is>
      </c>
    </row>
    <row r="2">
      <c r="A2" s="2" t="inlineStr">
        <is>
          <t>⚠️ 이 시트의 파란색 숫자를 변경하면 전체 자동 반영 | 2026-05-19</t>
        </is>
      </c>
    </row>
    <row r="4">
      <c r="A4" s="3" t="inlineStr">
        <is>
          <t>⛳ 골프 코스 (1인 1라운드, USD)</t>
        </is>
      </c>
    </row>
    <row r="5">
      <c r="A5" s="4" t="inlineStr">
        <is>
          <t>코스</t>
        </is>
      </c>
      <c r="B5" s="4" t="inlineStr">
        <is>
          <t>원가(Cost)</t>
        </is>
      </c>
      <c r="C5" s="4" t="inlineStr">
        <is>
          <t>판매가(Sell)</t>
        </is>
      </c>
      <c r="D5" s="4" t="inlineStr">
        <is>
          <t>단위마진</t>
        </is>
      </c>
      <c r="E5" s="4" t="inlineStr">
        <is>
          <t>특이사항</t>
        </is>
      </c>
      <c r="F5" s="4" t="inlineStr">
        <is>
          <t>추가마진</t>
        </is>
      </c>
      <c r="G5" s="4" t="inlineStr">
        <is>
          <t>추가설명</t>
        </is>
      </c>
    </row>
    <row r="6">
      <c r="A6" s="5" t="inlineStr">
        <is>
          <t>Trump National LA</t>
        </is>
      </c>
      <c r="B6" s="6" t="n">
        <v>210</v>
      </c>
      <c r="C6" s="6" t="n">
        <v>500</v>
      </c>
      <c r="D6" s="6" t="n">
        <v>290</v>
      </c>
      <c r="E6" s="7" t="inlineStr">
        <is>
          <t>멤버십 게스트 요금 | Cart 포함</t>
        </is>
      </c>
      <c r="F6" s="6" t="n">
        <v>0</v>
      </c>
      <c r="G6" s="7" t="inlineStr">
        <is>
          <t>-</t>
        </is>
      </c>
    </row>
    <row r="7">
      <c r="A7" s="5" t="inlineStr">
        <is>
          <t>Sandpiper GC</t>
        </is>
      </c>
      <c r="B7" s="6" t="n">
        <v>130</v>
      </c>
      <c r="C7" s="6" t="n">
        <v>245</v>
      </c>
      <c r="D7" s="6" t="n">
        <v>115</v>
      </c>
      <c r="E7" s="7" t="inlineStr">
        <is>
          <t>UnderPar.com deal | 리플레이 무료 | Non-Resident</t>
        </is>
      </c>
      <c r="F7" s="6" t="n">
        <v>245</v>
      </c>
      <c r="G7" s="7" t="inlineStr">
        <is>
          <t>리플레이 시 +판매가</t>
        </is>
      </c>
    </row>
    <row r="8">
      <c r="A8" s="5" t="inlineStr">
        <is>
          <t>Hidden Valley GC</t>
        </is>
      </c>
      <c r="B8" s="6" t="n">
        <v>109</v>
      </c>
      <c r="C8" s="6" t="n">
        <v>109</v>
      </c>
      <c r="D8" s="6" t="n">
        <v>0</v>
      </c>
      <c r="E8" s="7" t="inlineStr">
        <is>
          <t>Weekend Prime Morning | 9Stamp=1무료</t>
        </is>
      </c>
      <c r="F8" s="6" t="n">
        <v>12.11</v>
      </c>
      <c r="G8" s="7" t="inlineStr">
        <is>
          <t>스탬프당 $12.11</t>
        </is>
      </c>
    </row>
    <row r="10">
      <c r="A10" s="3" t="inlineStr">
        <is>
          <t>🏨 숙소 (1인 1박, Double Occupancy)</t>
        </is>
      </c>
    </row>
    <row r="11">
      <c r="A11" s="4" t="inlineStr">
        <is>
          <t>호텔</t>
        </is>
      </c>
      <c r="B11" s="4" t="inlineStr">
        <is>
          <t>원가/인/박</t>
        </is>
      </c>
      <c r="C11" s="4" t="inlineStr">
        <is>
          <t>판매가/인/박</t>
        </is>
      </c>
      <c r="D11" s="4" t="inlineStr">
        <is>
          <t>마진</t>
        </is>
      </c>
      <c r="E11" s="4" t="inlineStr">
        <is>
          <t>비고</t>
        </is>
      </c>
      <c r="F11" s="4" t="inlineStr"/>
      <c r="G11" s="4" t="inlineStr"/>
    </row>
    <row r="12">
      <c r="A12" s="5" t="inlineStr">
        <is>
          <t>Beverly Wilshire (5★) / 동급</t>
        </is>
      </c>
      <c r="B12" s="6" t="n">
        <v>275</v>
      </c>
      <c r="C12" s="6" t="n">
        <v>375</v>
      </c>
      <c r="D12" s="6" t="n">
        <v>100</v>
      </c>
      <c r="E12" s="7" t="inlineStr">
        <is>
          <t>$550/room ÷ 2인</t>
        </is>
      </c>
    </row>
    <row r="14">
      <c r="A14" s="3" t="inlineStr">
        <is>
          <t>🚐 교통 (1인 기준, 4인 1조)</t>
        </is>
      </c>
    </row>
    <row r="15">
      <c r="A15" s="4" t="inlineStr">
        <is>
          <t>항목</t>
        </is>
      </c>
      <c r="B15" s="4" t="inlineStr">
        <is>
          <t>원가/인</t>
        </is>
      </c>
      <c r="C15" s="4" t="inlineStr">
        <is>
          <t>판매가/인</t>
        </is>
      </c>
      <c r="D15" s="4" t="inlineStr">
        <is>
          <t>마진</t>
        </is>
      </c>
      <c r="E15" s="4" t="inlineStr">
        <is>
          <t>비고</t>
        </is>
      </c>
      <c r="F15" s="4" t="inlineStr"/>
      <c r="G15" s="4" t="inlineStr"/>
    </row>
    <row r="16">
      <c r="A16" s="5" t="inlineStr">
        <is>
          <t>Driver/Guide + 럭셔리밴 (일당)</t>
        </is>
      </c>
      <c r="B16" s="6" t="n">
        <v>125</v>
      </c>
      <c r="C16" s="6" t="n">
        <v>175</v>
      </c>
      <c r="D16" s="6" t="n">
        <v>50</v>
      </c>
      <c r="E16" s="7" t="inlineStr">
        <is>
          <t>$500/일 ÷ 4인 | 드라이버=가이드 겸직</t>
        </is>
      </c>
    </row>
    <row r="17">
      <c r="A17" s="5" t="inlineStr">
        <is>
          <t>공항 왕복 픽업 (1회)</t>
        </is>
      </c>
      <c r="B17" s="6" t="n">
        <v>75</v>
      </c>
      <c r="C17" s="6" t="n">
        <v>120</v>
      </c>
      <c r="D17" s="6" t="n">
        <v>45</v>
      </c>
      <c r="E17" s="7" t="inlineStr">
        <is>
          <t>LAX ↔ 호텔</t>
        </is>
      </c>
    </row>
    <row r="19">
      <c r="A19" s="3" t="inlineStr">
        <is>
          <t>🍽️ 식사 (1인 1끼)</t>
        </is>
      </c>
    </row>
    <row r="20">
      <c r="A20" s="4" t="inlineStr">
        <is>
          <t>식사종류</t>
        </is>
      </c>
      <c r="B20" s="4" t="inlineStr">
        <is>
          <t>원가/인</t>
        </is>
      </c>
      <c r="C20" s="4" t="inlineStr">
        <is>
          <t>판매가/인</t>
        </is>
      </c>
      <c r="D20" s="4" t="inlineStr">
        <is>
          <t>마진</t>
        </is>
      </c>
      <c r="E20" s="4" t="inlineStr">
        <is>
          <t>비고</t>
        </is>
      </c>
      <c r="F20" s="4" t="inlineStr"/>
      <c r="G20" s="4" t="inlineStr"/>
    </row>
    <row r="21">
      <c r="A21" s="5" t="inlineStr">
        <is>
          <t>조식 (호텔)</t>
        </is>
      </c>
      <c r="B21" s="6" t="n">
        <v>30</v>
      </c>
      <c r="C21" s="6" t="n">
        <v>45</v>
      </c>
      <c r="D21" s="6" t="n">
        <v>15</v>
      </c>
      <c r="E21" s="7" t="inlineStr">
        <is>
          <t>매일 포함</t>
        </is>
      </c>
    </row>
    <row r="22">
      <c r="A22" s="5" t="inlineStr">
        <is>
          <t>중식</t>
        </is>
      </c>
      <c r="B22" s="6" t="n">
        <v>40</v>
      </c>
      <c r="C22" s="6" t="n">
        <v>60</v>
      </c>
      <c r="D22" s="6" t="n">
        <v>20</v>
      </c>
      <c r="E22" s="7" t="inlineStr">
        <is>
          <t>매일 포함</t>
        </is>
      </c>
    </row>
    <row r="23">
      <c r="A23" s="5" t="inlineStr">
        <is>
          <t>석식 (일반)</t>
        </is>
      </c>
      <c r="B23" s="6" t="n">
        <v>80</v>
      </c>
      <c r="C23" s="6" t="n">
        <v>120</v>
      </c>
      <c r="D23" s="6" t="n">
        <v>40</v>
      </c>
      <c r="E23" s="7" t="inlineStr">
        <is>
          <t>일반 석식</t>
        </is>
      </c>
    </row>
    <row r="24">
      <c r="A24" s="5" t="inlineStr">
        <is>
          <t>Exclusive 디너 (미슐랭/파인다이닝)</t>
        </is>
      </c>
      <c r="B24" s="6" t="n">
        <v>120</v>
      </c>
      <c r="C24" s="6" t="n">
        <v>180</v>
      </c>
      <c r="D24" s="6" t="n">
        <v>60</v>
      </c>
      <c r="E24" s="7" t="inlineStr">
        <is>
          <t>트립당 2회</t>
        </is>
      </c>
    </row>
    <row r="26">
      <c r="A26" s="3" t="inlineStr">
        <is>
          <t>📦 기타 (1인 1일)</t>
        </is>
      </c>
    </row>
    <row r="27">
      <c r="A27" s="4" t="inlineStr">
        <is>
          <t>항목</t>
        </is>
      </c>
      <c r="B27" s="4" t="inlineStr">
        <is>
          <t>원가/인/일</t>
        </is>
      </c>
      <c r="C27" s="4" t="inlineStr">
        <is>
          <t>판매가/인/일</t>
        </is>
      </c>
      <c r="D27" s="4" t="inlineStr">
        <is>
          <t>마진</t>
        </is>
      </c>
      <c r="E27" s="4" t="inlineStr">
        <is>
          <t>비고</t>
        </is>
      </c>
      <c r="F27" s="4" t="inlineStr"/>
      <c r="G27" s="4" t="inlineStr"/>
    </row>
    <row r="28">
      <c r="A28" s="5" t="inlineStr">
        <is>
          <t>기타경비 (보험·팁·컨틴전시)</t>
        </is>
      </c>
      <c r="B28" s="6" t="n">
        <v>50</v>
      </c>
      <c r="C28" s="6" t="n">
        <v>75</v>
      </c>
      <c r="D28" s="6" t="n">
        <v>25</v>
      </c>
      <c r="E28" s="7" t="inlineStr">
        <is>
          <t>일당</t>
        </is>
      </c>
    </row>
  </sheetData>
  <mergeCells count="7">
    <mergeCell ref="A14:G14"/>
    <mergeCell ref="A1:G1"/>
    <mergeCell ref="A4:G4"/>
    <mergeCell ref="A26:G26"/>
    <mergeCell ref="A2:G2"/>
    <mergeCell ref="A19:G19"/>
    <mergeCell ref="A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4af37"/>
    <outlinePr summaryBelow="1" summaryRight="1"/>
    <pageSetUpPr/>
  </sheetPr>
  <dimension ref="A1:AA1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5" customWidth="1" min="2" max="2"/>
    <col width="9" customWidth="1" min="3" max="3"/>
    <col width="26" customWidth="1" min="4" max="4"/>
    <col width="4" customWidth="1" min="5" max="5"/>
    <col width="4" customWidth="1" min="6" max="6"/>
    <col width="5" customWidth="1" min="7" max="7"/>
    <col width="5" customWidth="1" min="8" max="8"/>
    <col width="5" customWidth="1" min="9" max="9"/>
    <col width="5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9" customWidth="1" min="21" max="21"/>
    <col width="9" customWidth="1" min="22" max="22"/>
    <col width="9" customWidth="1" min="23" max="23"/>
    <col width="7" customWidth="1" min="24" max="24"/>
    <col width="7" customWidth="1" min="25" max="25"/>
    <col width="9" customWidth="1" min="26" max="26"/>
    <col width="7" customWidth="1" min="27" max="27"/>
  </cols>
  <sheetData>
    <row r="1">
      <c r="A1" s="1" t="inlineStr">
        <is>
          <t>결 TOUR — 미국 LA 골프 패키지 12종 (1인 기준, USD)</t>
        </is>
      </c>
    </row>
    <row r="2">
      <c r="A2" s="2" t="inlineStr">
        <is>
          <t>🔗 Master Data 변경 시 전체 자동 반영 (Excel 수식) | 2026-05-19</t>
        </is>
      </c>
    </row>
    <row r="4">
      <c r="A4" s="4" t="inlineStr">
        <is>
          <t>No</t>
        </is>
      </c>
      <c r="B4" s="4" t="inlineStr">
        <is>
          <t>ID</t>
        </is>
      </c>
      <c r="C4" s="4" t="inlineStr">
        <is>
          <t>일정</t>
        </is>
      </c>
      <c r="D4" s="4" t="inlineStr">
        <is>
          <t>패키지명</t>
        </is>
      </c>
      <c r="E4" s="4" t="inlineStr">
        <is>
          <t>박</t>
        </is>
      </c>
      <c r="F4" s="4" t="inlineStr">
        <is>
          <t>일</t>
        </is>
      </c>
      <c r="G4" s="4" t="inlineStr">
        <is>
          <t>Rds</t>
        </is>
      </c>
      <c r="H4" s="4" t="inlineStr">
        <is>
          <t>Trump</t>
        </is>
      </c>
      <c r="I4" s="4" t="inlineStr">
        <is>
          <t>Sand</t>
        </is>
      </c>
      <c r="J4" s="4" t="inlineStr">
        <is>
          <t>HV</t>
        </is>
      </c>
      <c r="K4" s="4" t="inlineStr">
        <is>
          <t>골프C</t>
        </is>
      </c>
      <c r="L4" s="4" t="inlineStr">
        <is>
          <t>골프S</t>
        </is>
      </c>
      <c r="M4" s="4" t="inlineStr">
        <is>
          <t>호텔C</t>
        </is>
      </c>
      <c r="N4" s="4" t="inlineStr">
        <is>
          <t>호텔S</t>
        </is>
      </c>
      <c r="O4" s="4" t="inlineStr">
        <is>
          <t>차량C</t>
        </is>
      </c>
      <c r="P4" s="4" t="inlineStr">
        <is>
          <t>차량S</t>
        </is>
      </c>
      <c r="Q4" s="4" t="inlineStr">
        <is>
          <t>식사C</t>
        </is>
      </c>
      <c r="R4" s="4" t="inlineStr">
        <is>
          <t>식사S</t>
        </is>
      </c>
      <c r="S4" s="4" t="inlineStr">
        <is>
          <t>기타C</t>
        </is>
      </c>
      <c r="T4" s="4" t="inlineStr">
        <is>
          <t>기타S</t>
        </is>
      </c>
      <c r="U4" s="4" t="inlineStr">
        <is>
          <t>총원가</t>
        </is>
      </c>
      <c r="V4" s="4" t="inlineStr">
        <is>
          <t>총판매</t>
        </is>
      </c>
      <c r="W4" s="4" t="inlineStr">
        <is>
          <t>매출이익</t>
        </is>
      </c>
      <c r="X4" s="4" t="inlineStr">
        <is>
          <t>Stamp</t>
        </is>
      </c>
      <c r="Y4" s="4" t="inlineStr">
        <is>
          <t>리플레이</t>
        </is>
      </c>
      <c r="Z4" s="4" t="inlineStr">
        <is>
          <t>실질이익</t>
        </is>
      </c>
      <c r="AA4" s="4" t="inlineStr">
        <is>
          <t>마진율</t>
        </is>
      </c>
    </row>
    <row r="5">
      <c r="A5" s="8" t="n">
        <v>1</v>
      </c>
      <c r="B5" s="8" t="inlineStr">
        <is>
          <t>A1</t>
        </is>
      </c>
      <c r="C5" s="8" t="inlineStr">
        <is>
          <t>3박 4일</t>
        </is>
      </c>
      <c r="D5" s="8" t="inlineStr">
        <is>
          <t>트럼프 익스클루시브</t>
        </is>
      </c>
      <c r="E5" s="8" t="n">
        <v>3</v>
      </c>
      <c r="F5" s="8" t="n">
        <v>4</v>
      </c>
      <c r="G5" s="8" t="n">
        <v>2</v>
      </c>
      <c r="H5" s="8" t="n">
        <v>2</v>
      </c>
      <c r="I5" s="8" t="n">
        <v>0</v>
      </c>
      <c r="J5" s="8" t="n">
        <v>0</v>
      </c>
      <c r="K5" s="9" t="n">
        <v>420</v>
      </c>
      <c r="L5" s="9" t="n">
        <v>1000</v>
      </c>
      <c r="M5" s="9" t="n">
        <v>825</v>
      </c>
      <c r="N5" s="9" t="n">
        <v>1125</v>
      </c>
      <c r="O5" s="9" t="n">
        <v>500</v>
      </c>
      <c r="P5" s="9" t="n">
        <v>700</v>
      </c>
      <c r="Q5" s="9" t="n">
        <v>755</v>
      </c>
      <c r="R5" s="9" t="n">
        <v>1140</v>
      </c>
      <c r="S5" s="9" t="n">
        <v>200</v>
      </c>
      <c r="T5" s="9" t="n">
        <v>300</v>
      </c>
      <c r="U5" s="10" t="n">
        <v>2700</v>
      </c>
      <c r="V5" s="11" t="n">
        <v>4265</v>
      </c>
      <c r="W5" s="9" t="n">
        <v>1565</v>
      </c>
      <c r="X5" s="9" t="n">
        <v>0</v>
      </c>
      <c r="Y5" s="9" t="n">
        <v>0</v>
      </c>
      <c r="Z5" s="11" t="n">
        <v>1565</v>
      </c>
      <c r="AA5" s="12" t="n">
        <v>0.3669402110199297</v>
      </c>
    </row>
    <row r="6">
      <c r="A6" s="13" t="n">
        <v>2</v>
      </c>
      <c r="B6" s="13" t="inlineStr">
        <is>
          <t>A2</t>
        </is>
      </c>
      <c r="C6" s="13" t="inlineStr">
        <is>
          <t>3박 4일</t>
        </is>
      </c>
      <c r="D6" s="13" t="inlineStr">
        <is>
          <t>트럼프 + 샌드파이퍼 오션뷰</t>
        </is>
      </c>
      <c r="E6" s="13" t="n">
        <v>3</v>
      </c>
      <c r="F6" s="13" t="n">
        <v>4</v>
      </c>
      <c r="G6" s="13" t="n">
        <v>2</v>
      </c>
      <c r="H6" s="13" t="n">
        <v>1</v>
      </c>
      <c r="I6" s="13" t="n">
        <v>1</v>
      </c>
      <c r="J6" s="13" t="n">
        <v>0</v>
      </c>
      <c r="K6" s="14" t="n">
        <v>340</v>
      </c>
      <c r="L6" s="14" t="n">
        <v>745</v>
      </c>
      <c r="M6" s="14" t="n">
        <v>825</v>
      </c>
      <c r="N6" s="14" t="n">
        <v>1125</v>
      </c>
      <c r="O6" s="14" t="n">
        <v>500</v>
      </c>
      <c r="P6" s="14" t="n">
        <v>700</v>
      </c>
      <c r="Q6" s="14" t="n">
        <v>755</v>
      </c>
      <c r="R6" s="14" t="n">
        <v>1140</v>
      </c>
      <c r="S6" s="14" t="n">
        <v>200</v>
      </c>
      <c r="T6" s="14" t="n">
        <v>300</v>
      </c>
      <c r="U6" s="15" t="n">
        <v>2620</v>
      </c>
      <c r="V6" s="16" t="n">
        <v>4010</v>
      </c>
      <c r="W6" s="14" t="n">
        <v>1390</v>
      </c>
      <c r="X6" s="14" t="n">
        <v>0</v>
      </c>
      <c r="Y6" s="14" t="n">
        <v>0</v>
      </c>
      <c r="Z6" s="16" t="n">
        <v>1390</v>
      </c>
      <c r="AA6" s="17" t="n">
        <v>0.3466334164588529</v>
      </c>
    </row>
    <row r="7">
      <c r="A7" s="8" t="n">
        <v>3</v>
      </c>
      <c r="B7" s="8" t="inlineStr">
        <is>
          <t>A3</t>
        </is>
      </c>
      <c r="C7" s="8" t="inlineStr">
        <is>
          <t>3박 4일</t>
        </is>
      </c>
      <c r="D7" s="8" t="inlineStr">
        <is>
          <t>트럼프 + 히든밸리 밸리뷰</t>
        </is>
      </c>
      <c r="E7" s="8" t="n">
        <v>3</v>
      </c>
      <c r="F7" s="8" t="n">
        <v>4</v>
      </c>
      <c r="G7" s="8" t="n">
        <v>2</v>
      </c>
      <c r="H7" s="8" t="n">
        <v>1</v>
      </c>
      <c r="I7" s="8" t="n">
        <v>0</v>
      </c>
      <c r="J7" s="8" t="n">
        <v>1</v>
      </c>
      <c r="K7" s="9" t="n">
        <v>319</v>
      </c>
      <c r="L7" s="9" t="n">
        <v>609</v>
      </c>
      <c r="M7" s="9" t="n">
        <v>825</v>
      </c>
      <c r="N7" s="9" t="n">
        <v>1125</v>
      </c>
      <c r="O7" s="9" t="n">
        <v>500</v>
      </c>
      <c r="P7" s="9" t="n">
        <v>700</v>
      </c>
      <c r="Q7" s="9" t="n">
        <v>755</v>
      </c>
      <c r="R7" s="9" t="n">
        <v>1140</v>
      </c>
      <c r="S7" s="9" t="n">
        <v>200</v>
      </c>
      <c r="T7" s="9" t="n">
        <v>300</v>
      </c>
      <c r="U7" s="10" t="n">
        <v>2599</v>
      </c>
      <c r="V7" s="11" t="n">
        <v>3874</v>
      </c>
      <c r="W7" s="9" t="n">
        <v>1275</v>
      </c>
      <c r="X7" s="9" t="n">
        <v>12</v>
      </c>
      <c r="Y7" s="9" t="n">
        <v>0</v>
      </c>
      <c r="Z7" s="11" t="n">
        <v>1287.111111111111</v>
      </c>
      <c r="AA7" s="12" t="n">
        <v>0.332243446337406</v>
      </c>
    </row>
    <row r="8">
      <c r="A8" s="13" t="n">
        <v>4</v>
      </c>
      <c r="B8" s="13" t="inlineStr">
        <is>
          <t>A4</t>
        </is>
      </c>
      <c r="C8" s="13" t="inlineStr">
        <is>
          <t>3박 4일</t>
        </is>
      </c>
      <c r="D8" s="13" t="inlineStr">
        <is>
          <t>트럼프 인텐시브 + LA관광</t>
        </is>
      </c>
      <c r="E8" s="13" t="n">
        <v>3</v>
      </c>
      <c r="F8" s="13" t="n">
        <v>4</v>
      </c>
      <c r="G8" s="13" t="n">
        <v>2</v>
      </c>
      <c r="H8" s="13" t="n">
        <v>2</v>
      </c>
      <c r="I8" s="13" t="n">
        <v>0</v>
      </c>
      <c r="J8" s="13" t="n">
        <v>0</v>
      </c>
      <c r="K8" s="14" t="n">
        <v>420</v>
      </c>
      <c r="L8" s="14" t="n">
        <v>1000</v>
      </c>
      <c r="M8" s="14" t="n">
        <v>825</v>
      </c>
      <c r="N8" s="14" t="n">
        <v>1125</v>
      </c>
      <c r="O8" s="14" t="n">
        <v>500</v>
      </c>
      <c r="P8" s="14" t="n">
        <v>700</v>
      </c>
      <c r="Q8" s="14" t="n">
        <v>755</v>
      </c>
      <c r="R8" s="14" t="n">
        <v>1140</v>
      </c>
      <c r="S8" s="14" t="n">
        <v>200</v>
      </c>
      <c r="T8" s="14" t="n">
        <v>300</v>
      </c>
      <c r="U8" s="15" t="n">
        <v>2700</v>
      </c>
      <c r="V8" s="16" t="n">
        <v>4265</v>
      </c>
      <c r="W8" s="14" t="n">
        <v>1565</v>
      </c>
      <c r="X8" s="14" t="n">
        <v>0</v>
      </c>
      <c r="Y8" s="14" t="n">
        <v>0</v>
      </c>
      <c r="Z8" s="16" t="n">
        <v>1565</v>
      </c>
      <c r="AA8" s="17" t="n">
        <v>0.3669402110199297</v>
      </c>
    </row>
    <row r="9">
      <c r="A9" s="8" t="n">
        <v>5</v>
      </c>
      <c r="B9" s="8" t="inlineStr">
        <is>
          <t>B1</t>
        </is>
      </c>
      <c r="C9" s="8" t="inlineStr">
        <is>
          <t>5박 7일</t>
        </is>
      </c>
      <c r="D9" s="8" t="inlineStr">
        <is>
          <t>트럼프 그랜드슬램</t>
        </is>
      </c>
      <c r="E9" s="8" t="n">
        <v>5</v>
      </c>
      <c r="F9" s="8" t="n">
        <v>7</v>
      </c>
      <c r="G9" s="8" t="n">
        <v>4</v>
      </c>
      <c r="H9" s="8" t="n">
        <v>4</v>
      </c>
      <c r="I9" s="8" t="n">
        <v>0</v>
      </c>
      <c r="J9" s="8" t="n">
        <v>0</v>
      </c>
      <c r="K9" s="9" t="n">
        <v>840</v>
      </c>
      <c r="L9" s="9" t="n">
        <v>2000</v>
      </c>
      <c r="M9" s="9" t="n">
        <v>1375</v>
      </c>
      <c r="N9" s="9" t="n">
        <v>1875</v>
      </c>
      <c r="O9" s="9" t="n">
        <v>875</v>
      </c>
      <c r="P9" s="9" t="n">
        <v>1225</v>
      </c>
      <c r="Q9" s="9" t="n">
        <v>1205</v>
      </c>
      <c r="R9" s="9" t="n">
        <v>1815</v>
      </c>
      <c r="S9" s="9" t="n">
        <v>350</v>
      </c>
      <c r="T9" s="9" t="n">
        <v>525</v>
      </c>
      <c r="U9" s="10" t="n">
        <v>4645</v>
      </c>
      <c r="V9" s="11" t="n">
        <v>7440</v>
      </c>
      <c r="W9" s="9" t="n">
        <v>2795</v>
      </c>
      <c r="X9" s="9" t="n">
        <v>0</v>
      </c>
      <c r="Y9" s="9" t="n">
        <v>0</v>
      </c>
      <c r="Z9" s="11" t="n">
        <v>2795</v>
      </c>
      <c r="AA9" s="18" t="n">
        <v>0.3756720430107527</v>
      </c>
    </row>
    <row r="10">
      <c r="A10" s="13" t="n">
        <v>6</v>
      </c>
      <c r="B10" s="13" t="inlineStr">
        <is>
          <t>B2</t>
        </is>
      </c>
      <c r="C10" s="13" t="inlineStr">
        <is>
          <t>5박 7일</t>
        </is>
      </c>
      <c r="D10" s="13" t="inlineStr">
        <is>
          <t>트럼프 + 샌드파이퍼 베스트</t>
        </is>
      </c>
      <c r="E10" s="13" t="n">
        <v>5</v>
      </c>
      <c r="F10" s="13" t="n">
        <v>7</v>
      </c>
      <c r="G10" s="13" t="n">
        <v>4</v>
      </c>
      <c r="H10" s="13" t="n">
        <v>2</v>
      </c>
      <c r="I10" s="13" t="n">
        <v>2</v>
      </c>
      <c r="J10" s="13" t="n">
        <v>0</v>
      </c>
      <c r="K10" s="14" t="n">
        <v>680</v>
      </c>
      <c r="L10" s="14" t="n">
        <v>1490</v>
      </c>
      <c r="M10" s="14" t="n">
        <v>1375</v>
      </c>
      <c r="N10" s="14" t="n">
        <v>1875</v>
      </c>
      <c r="O10" s="14" t="n">
        <v>875</v>
      </c>
      <c r="P10" s="14" t="n">
        <v>1225</v>
      </c>
      <c r="Q10" s="14" t="n">
        <v>1205</v>
      </c>
      <c r="R10" s="14" t="n">
        <v>1815</v>
      </c>
      <c r="S10" s="14" t="n">
        <v>350</v>
      </c>
      <c r="T10" s="14" t="n">
        <v>525</v>
      </c>
      <c r="U10" s="15" t="n">
        <v>4485</v>
      </c>
      <c r="V10" s="16" t="n">
        <v>6930</v>
      </c>
      <c r="W10" s="14" t="n">
        <v>2445</v>
      </c>
      <c r="X10" s="14" t="n">
        <v>0</v>
      </c>
      <c r="Y10" s="14" t="n">
        <v>130</v>
      </c>
      <c r="Z10" s="16" t="n">
        <v>2575</v>
      </c>
      <c r="AA10" s="18" t="n">
        <v>0.3715728715728716</v>
      </c>
    </row>
    <row r="11">
      <c r="A11" s="8" t="n">
        <v>7</v>
      </c>
      <c r="B11" s="8" t="inlineStr">
        <is>
          <t>B3</t>
        </is>
      </c>
      <c r="C11" s="8" t="inlineStr">
        <is>
          <t>5박 7일</t>
        </is>
      </c>
      <c r="D11" s="8" t="inlineStr">
        <is>
          <t>트럼프 + 히든밸리 시그니처</t>
        </is>
      </c>
      <c r="E11" s="8" t="n">
        <v>5</v>
      </c>
      <c r="F11" s="8" t="n">
        <v>7</v>
      </c>
      <c r="G11" s="8" t="n">
        <v>4</v>
      </c>
      <c r="H11" s="8" t="n">
        <v>2</v>
      </c>
      <c r="I11" s="8" t="n">
        <v>0</v>
      </c>
      <c r="J11" s="8" t="n">
        <v>2</v>
      </c>
      <c r="K11" s="9" t="n">
        <v>638</v>
      </c>
      <c r="L11" s="9" t="n">
        <v>1218</v>
      </c>
      <c r="M11" s="9" t="n">
        <v>1375</v>
      </c>
      <c r="N11" s="9" t="n">
        <v>1875</v>
      </c>
      <c r="O11" s="9" t="n">
        <v>875</v>
      </c>
      <c r="P11" s="9" t="n">
        <v>1225</v>
      </c>
      <c r="Q11" s="9" t="n">
        <v>1205</v>
      </c>
      <c r="R11" s="9" t="n">
        <v>1815</v>
      </c>
      <c r="S11" s="9" t="n">
        <v>350</v>
      </c>
      <c r="T11" s="9" t="n">
        <v>525</v>
      </c>
      <c r="U11" s="10" t="n">
        <v>4443</v>
      </c>
      <c r="V11" s="11" t="n">
        <v>6658</v>
      </c>
      <c r="W11" s="9" t="n">
        <v>2215</v>
      </c>
      <c r="X11" s="9" t="n">
        <v>24</v>
      </c>
      <c r="Y11" s="9" t="n">
        <v>0</v>
      </c>
      <c r="Z11" s="11" t="n">
        <v>2239.222222222222</v>
      </c>
      <c r="AA11" s="12" t="n">
        <v>0.3363205500483962</v>
      </c>
    </row>
    <row r="12">
      <c r="A12" s="13" t="n">
        <v>8</v>
      </c>
      <c r="B12" s="13" t="inlineStr">
        <is>
          <t>B4</t>
        </is>
      </c>
      <c r="C12" s="13" t="inlineStr">
        <is>
          <t>5박 7일</t>
        </is>
      </c>
      <c r="D12" s="13" t="inlineStr">
        <is>
          <t>트럼프+샌드+히든 3색</t>
        </is>
      </c>
      <c r="E12" s="13" t="n">
        <v>5</v>
      </c>
      <c r="F12" s="13" t="n">
        <v>7</v>
      </c>
      <c r="G12" s="13" t="n">
        <v>4</v>
      </c>
      <c r="H12" s="13" t="n">
        <v>2</v>
      </c>
      <c r="I12" s="13" t="n">
        <v>1</v>
      </c>
      <c r="J12" s="13" t="n">
        <v>1</v>
      </c>
      <c r="K12" s="14" t="n">
        <v>659</v>
      </c>
      <c r="L12" s="14" t="n">
        <v>1354</v>
      </c>
      <c r="M12" s="14" t="n">
        <v>1375</v>
      </c>
      <c r="N12" s="14" t="n">
        <v>1875</v>
      </c>
      <c r="O12" s="14" t="n">
        <v>875</v>
      </c>
      <c r="P12" s="14" t="n">
        <v>1225</v>
      </c>
      <c r="Q12" s="14" t="n">
        <v>1205</v>
      </c>
      <c r="R12" s="14" t="n">
        <v>1815</v>
      </c>
      <c r="S12" s="14" t="n">
        <v>350</v>
      </c>
      <c r="T12" s="14" t="n">
        <v>525</v>
      </c>
      <c r="U12" s="15" t="n">
        <v>4464</v>
      </c>
      <c r="V12" s="16" t="n">
        <v>6794</v>
      </c>
      <c r="W12" s="14" t="n">
        <v>2330</v>
      </c>
      <c r="X12" s="14" t="n">
        <v>12</v>
      </c>
      <c r="Y12" s="14" t="n">
        <v>0</v>
      </c>
      <c r="Z12" s="16" t="n">
        <v>2342.111111111111</v>
      </c>
      <c r="AA12" s="17" t="n">
        <v>0.3447322801164426</v>
      </c>
    </row>
    <row r="13">
      <c r="A13" s="8" t="n">
        <v>9</v>
      </c>
      <c r="B13" s="8" t="inlineStr">
        <is>
          <t>C1</t>
        </is>
      </c>
      <c r="C13" s="8" t="inlineStr">
        <is>
          <t>7박 8일</t>
        </is>
      </c>
      <c r="D13" s="8" t="inlineStr">
        <is>
          <t>트럼프 얼티밋</t>
        </is>
      </c>
      <c r="E13" s="8" t="n">
        <v>7</v>
      </c>
      <c r="F13" s="8" t="n">
        <v>8</v>
      </c>
      <c r="G13" s="8" t="n">
        <v>5</v>
      </c>
      <c r="H13" s="8" t="n">
        <v>5</v>
      </c>
      <c r="I13" s="8" t="n">
        <v>0</v>
      </c>
      <c r="J13" s="8" t="n">
        <v>0</v>
      </c>
      <c r="K13" s="9" t="n">
        <v>1050</v>
      </c>
      <c r="L13" s="9" t="n">
        <v>2500</v>
      </c>
      <c r="M13" s="9" t="n">
        <v>1925</v>
      </c>
      <c r="N13" s="9" t="n">
        <v>2625</v>
      </c>
      <c r="O13" s="9" t="n">
        <v>1000</v>
      </c>
      <c r="P13" s="9" t="n">
        <v>1400</v>
      </c>
      <c r="Q13" s="9" t="n">
        <v>1355</v>
      </c>
      <c r="R13" s="9" t="n">
        <v>2040</v>
      </c>
      <c r="S13" s="9" t="n">
        <v>400</v>
      </c>
      <c r="T13" s="9" t="n">
        <v>600</v>
      </c>
      <c r="U13" s="10" t="n">
        <v>5730</v>
      </c>
      <c r="V13" s="11" t="n">
        <v>9165</v>
      </c>
      <c r="W13" s="9" t="n">
        <v>3435</v>
      </c>
      <c r="X13" s="9" t="n">
        <v>0</v>
      </c>
      <c r="Y13" s="9" t="n">
        <v>0</v>
      </c>
      <c r="Z13" s="11" t="n">
        <v>3435</v>
      </c>
      <c r="AA13" s="18" t="n">
        <v>0.3747954173486088</v>
      </c>
    </row>
    <row r="14">
      <c r="A14" s="13" t="n">
        <v>10</v>
      </c>
      <c r="B14" s="13" t="inlineStr">
        <is>
          <t>C2</t>
        </is>
      </c>
      <c r="C14" s="13" t="inlineStr">
        <is>
          <t>7박 8일</t>
        </is>
      </c>
      <c r="D14" s="13" t="inlineStr">
        <is>
          <t>트럼프+샌드파이퍼 마스터</t>
        </is>
      </c>
      <c r="E14" s="13" t="n">
        <v>7</v>
      </c>
      <c r="F14" s="13" t="n">
        <v>8</v>
      </c>
      <c r="G14" s="13" t="n">
        <v>5</v>
      </c>
      <c r="H14" s="13" t="n">
        <v>3</v>
      </c>
      <c r="I14" s="13" t="n">
        <v>2</v>
      </c>
      <c r="J14" s="13" t="n">
        <v>0</v>
      </c>
      <c r="K14" s="14" t="n">
        <v>890</v>
      </c>
      <c r="L14" s="14" t="n">
        <v>1990</v>
      </c>
      <c r="M14" s="14" t="n">
        <v>1925</v>
      </c>
      <c r="N14" s="14" t="n">
        <v>2625</v>
      </c>
      <c r="O14" s="14" t="n">
        <v>1000</v>
      </c>
      <c r="P14" s="14" t="n">
        <v>1400</v>
      </c>
      <c r="Q14" s="14" t="n">
        <v>1355</v>
      </c>
      <c r="R14" s="14" t="n">
        <v>2040</v>
      </c>
      <c r="S14" s="14" t="n">
        <v>400</v>
      </c>
      <c r="T14" s="14" t="n">
        <v>600</v>
      </c>
      <c r="U14" s="15" t="n">
        <v>5570</v>
      </c>
      <c r="V14" s="16" t="n">
        <v>8655</v>
      </c>
      <c r="W14" s="14" t="n">
        <v>3085</v>
      </c>
      <c r="X14" s="14" t="n">
        <v>0</v>
      </c>
      <c r="Y14" s="14" t="n">
        <v>130</v>
      </c>
      <c r="Z14" s="16" t="n">
        <v>3215</v>
      </c>
      <c r="AA14" s="18" t="n">
        <v>0.3714615829000578</v>
      </c>
    </row>
    <row r="15">
      <c r="A15" s="8" t="n">
        <v>11</v>
      </c>
      <c r="B15" s="8" t="inlineStr">
        <is>
          <t>C3</t>
        </is>
      </c>
      <c r="C15" s="8" t="inlineStr">
        <is>
          <t>7박 8일</t>
        </is>
      </c>
      <c r="D15" s="8" t="inlineStr">
        <is>
          <t>트럼프+히든밸리 챔피언</t>
        </is>
      </c>
      <c r="E15" s="8" t="n">
        <v>7</v>
      </c>
      <c r="F15" s="8" t="n">
        <v>8</v>
      </c>
      <c r="G15" s="8" t="n">
        <v>5</v>
      </c>
      <c r="H15" s="8" t="n">
        <v>3</v>
      </c>
      <c r="I15" s="8" t="n">
        <v>0</v>
      </c>
      <c r="J15" s="8" t="n">
        <v>2</v>
      </c>
      <c r="K15" s="9" t="n">
        <v>848</v>
      </c>
      <c r="L15" s="9" t="n">
        <v>1718</v>
      </c>
      <c r="M15" s="9" t="n">
        <v>1925</v>
      </c>
      <c r="N15" s="9" t="n">
        <v>2625</v>
      </c>
      <c r="O15" s="9" t="n">
        <v>1000</v>
      </c>
      <c r="P15" s="9" t="n">
        <v>1400</v>
      </c>
      <c r="Q15" s="9" t="n">
        <v>1355</v>
      </c>
      <c r="R15" s="9" t="n">
        <v>2040</v>
      </c>
      <c r="S15" s="9" t="n">
        <v>400</v>
      </c>
      <c r="T15" s="9" t="n">
        <v>600</v>
      </c>
      <c r="U15" s="10" t="n">
        <v>5528</v>
      </c>
      <c r="V15" s="11" t="n">
        <v>8383</v>
      </c>
      <c r="W15" s="9" t="n">
        <v>2855</v>
      </c>
      <c r="X15" s="9" t="n">
        <v>24</v>
      </c>
      <c r="Y15" s="9" t="n">
        <v>0</v>
      </c>
      <c r="Z15" s="11" t="n">
        <v>2879.222222222222</v>
      </c>
      <c r="AA15" s="12" t="n">
        <v>0.3434596471695362</v>
      </c>
    </row>
    <row r="16">
      <c r="A16" s="13" t="n">
        <v>12</v>
      </c>
      <c r="B16" s="13" t="inlineStr">
        <is>
          <t>C4</t>
        </is>
      </c>
      <c r="C16" s="13" t="inlineStr">
        <is>
          <t>7박 8일</t>
        </is>
      </c>
      <c r="D16" s="13" t="inlineStr">
        <is>
          <t>트럼프+샌드+히든 풀하우스</t>
        </is>
      </c>
      <c r="E16" s="13" t="n">
        <v>7</v>
      </c>
      <c r="F16" s="13" t="n">
        <v>8</v>
      </c>
      <c r="G16" s="13" t="n">
        <v>5</v>
      </c>
      <c r="H16" s="13" t="n">
        <v>2</v>
      </c>
      <c r="I16" s="13" t="n">
        <v>2</v>
      </c>
      <c r="J16" s="13" t="n">
        <v>1</v>
      </c>
      <c r="K16" s="14" t="n">
        <v>789</v>
      </c>
      <c r="L16" s="14" t="n">
        <v>1599</v>
      </c>
      <c r="M16" s="14" t="n">
        <v>1925</v>
      </c>
      <c r="N16" s="14" t="n">
        <v>2625</v>
      </c>
      <c r="O16" s="14" t="n">
        <v>1000</v>
      </c>
      <c r="P16" s="14" t="n">
        <v>1400</v>
      </c>
      <c r="Q16" s="14" t="n">
        <v>1355</v>
      </c>
      <c r="R16" s="14" t="n">
        <v>2040</v>
      </c>
      <c r="S16" s="14" t="n">
        <v>400</v>
      </c>
      <c r="T16" s="14" t="n">
        <v>600</v>
      </c>
      <c r="U16" s="15" t="n">
        <v>5469</v>
      </c>
      <c r="V16" s="16" t="n">
        <v>8264</v>
      </c>
      <c r="W16" s="14" t="n">
        <v>2795</v>
      </c>
      <c r="X16" s="14" t="n">
        <v>12</v>
      </c>
      <c r="Y16" s="14" t="n">
        <v>130</v>
      </c>
      <c r="Z16" s="16" t="n">
        <v>2937.111111111111</v>
      </c>
      <c r="AA16" s="17" t="n">
        <v>0.3554103474239002</v>
      </c>
    </row>
    <row r="17">
      <c r="A17" s="4" t="inlineStr">
        <is>
          <t>📊 12종 합계</t>
        </is>
      </c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20">
        <f>SUM(K5:K16)</f>
        <v/>
      </c>
      <c r="L17" s="20">
        <f>SUM(L5:L16)</f>
        <v/>
      </c>
      <c r="M17" s="20">
        <f>SUM(M5:M16)</f>
        <v/>
      </c>
      <c r="N17" s="20">
        <f>SUM(N5:N16)</f>
        <v/>
      </c>
      <c r="O17" s="20">
        <f>SUM(O5:O16)</f>
        <v/>
      </c>
      <c r="P17" s="20">
        <f>SUM(P5:P16)</f>
        <v/>
      </c>
      <c r="Q17" s="20">
        <f>SUM(Q5:Q16)</f>
        <v/>
      </c>
      <c r="R17" s="20">
        <f>SUM(R5:R16)</f>
        <v/>
      </c>
      <c r="S17" s="20">
        <f>SUM(S5:S16)</f>
        <v/>
      </c>
      <c r="T17" s="20">
        <f>SUM(T5:T16)</f>
        <v/>
      </c>
      <c r="U17" s="20">
        <f>SUM(U5:U16)</f>
        <v/>
      </c>
      <c r="V17" s="20">
        <f>SUM(V5:V16)</f>
        <v/>
      </c>
      <c r="W17" s="20">
        <f>SUM(W5:W16)</f>
        <v/>
      </c>
      <c r="X17" s="20">
        <f>SUM(X5:X16)</f>
        <v/>
      </c>
      <c r="Y17" s="20">
        <f>SUM(Y5:Y16)</f>
        <v/>
      </c>
      <c r="Z17" s="20">
        <f>SUM(Z5:Z16)</f>
        <v/>
      </c>
    </row>
    <row r="18">
      <c r="A18" s="21" t="inlineStr">
        <is>
          <t>📊 4인팀 합계 (×4)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U18" s="23">
        <f>U17*4</f>
        <v/>
      </c>
      <c r="V18" s="23">
        <f>V17*4</f>
        <v/>
      </c>
      <c r="W18" s="23">
        <f>W17*4</f>
        <v/>
      </c>
      <c r="Z18" s="23">
        <f>Z17*4</f>
        <v/>
      </c>
    </row>
  </sheetData>
  <mergeCells count="4">
    <mergeCell ref="A17:J17"/>
    <mergeCell ref="A1:AA1"/>
    <mergeCell ref="A18:J18"/>
    <mergeCell ref="A2:AA2"/>
  </mergeCells>
  <conditionalFormatting sqref="W5:W16">
    <cfRule type="dataBar" priority="1">
      <dataBar>
        <cfvo type="min"/>
        <cfvo type="max"/>
        <color rgb="00d4af37"/>
      </dataBar>
    </cfRule>
  </conditionalFormatting>
  <conditionalFormatting sqref="Z5:Z16">
    <cfRule type="dataBar" priority="2">
      <dataBar>
        <cfvo type="min"/>
        <cfvo type="max"/>
        <color rgb="001a3450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6100"/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2" customWidth="1" min="3" max="3"/>
    <col width="10" customWidth="1" min="4" max="4"/>
    <col width="10" customWidth="1" min="5" max="5"/>
    <col width="10" customWidth="1" min="6" max="6"/>
    <col width="10" customWidth="1" min="7" max="7"/>
    <col width="8" customWidth="1" min="8" max="8"/>
  </cols>
  <sheetData>
    <row r="1">
      <c r="A1" s="1" t="inlineStr">
        <is>
          <t>결 TOUR — 수익 분석 요약</t>
        </is>
      </c>
    </row>
    <row r="3">
      <c r="A3" s="3" t="inlineStr">
        <is>
          <t>🏆 사이트 적용 추천 TOP 3 (기간별 베스트)</t>
        </is>
      </c>
    </row>
    <row r="4">
      <c r="A4" s="4" t="inlineStr"/>
      <c r="B4" s="4" t="inlineStr">
        <is>
          <t>숏트립</t>
        </is>
      </c>
      <c r="C4" s="4" t="inlineStr">
        <is>
          <t>코어패키지</t>
        </is>
      </c>
      <c r="D4" s="4" t="inlineStr">
        <is>
          <t>프리미엄</t>
        </is>
      </c>
      <c r="E4" s="4" t="inlineStr"/>
      <c r="F4" s="4" t="inlineStr"/>
      <c r="G4" s="4" t="inlineStr"/>
      <c r="H4" s="4" t="inlineStr"/>
    </row>
    <row r="5">
      <c r="A5" s="5" t="inlineStr">
        <is>
          <t>일정</t>
        </is>
      </c>
      <c r="B5" s="24" t="inlineStr">
        <is>
          <t>일정</t>
        </is>
      </c>
      <c r="C5" s="24" t="inlineStr">
        <is>
          <t>3박 4일</t>
        </is>
      </c>
      <c r="D5" s="24" t="inlineStr">
        <is>
          <t>5박 7일</t>
        </is>
      </c>
      <c r="E5" s="24" t="inlineStr">
        <is>
          <t>7박 8일</t>
        </is>
      </c>
    </row>
    <row r="6">
      <c r="A6" s="5" t="inlineStr">
        <is>
          <t>패키지</t>
        </is>
      </c>
      <c r="B6" s="13" t="inlineStr">
        <is>
          <t>패키지</t>
        </is>
      </c>
      <c r="C6" s="13" t="inlineStr">
        <is>
          <t>트럼프 익스클루시브</t>
        </is>
      </c>
      <c r="D6" s="13" t="inlineStr">
        <is>
          <t>트럼프 그랜드슬램</t>
        </is>
      </c>
      <c r="E6" s="13" t="inlineStr">
        <is>
          <t>트럼프 얼티밋</t>
        </is>
      </c>
    </row>
    <row r="7">
      <c r="A7" s="5" t="inlineStr">
        <is>
          <t>라운드</t>
        </is>
      </c>
      <c r="B7" s="13" t="inlineStr">
        <is>
          <t>라운드</t>
        </is>
      </c>
      <c r="C7" s="13" t="inlineStr">
        <is>
          <t>2회</t>
        </is>
      </c>
      <c r="D7" s="13" t="inlineStr">
        <is>
          <t>4회</t>
        </is>
      </c>
      <c r="E7" s="13" t="inlineStr">
        <is>
          <t>5회</t>
        </is>
      </c>
    </row>
    <row r="8">
      <c r="A8" s="5" t="inlineStr">
        <is>
          <t>코스구성</t>
        </is>
      </c>
      <c r="B8" s="13" t="inlineStr">
        <is>
          <t>코스구성</t>
        </is>
      </c>
      <c r="C8" s="13" t="inlineStr">
        <is>
          <t>Trump×2</t>
        </is>
      </c>
      <c r="D8" s="13" t="inlineStr">
        <is>
          <t>Trump×4+Sand×0+HV×0</t>
        </is>
      </c>
      <c r="E8" s="13" t="inlineStr">
        <is>
          <t>Trump×5+Sand×0+HV×0</t>
        </is>
      </c>
    </row>
    <row r="9">
      <c r="A9" s="5" t="inlineStr"/>
      <c r="B9" s="13" t="inlineStr"/>
      <c r="C9" s="13" t="inlineStr"/>
      <c r="D9" s="13" t="inlineStr"/>
      <c r="E9" s="13" t="inlineStr"/>
    </row>
    <row r="10">
      <c r="A10" s="5" t="inlineStr">
        <is>
          <t>판매가 (1인)</t>
        </is>
      </c>
      <c r="B10" s="25" t="inlineStr">
        <is>
          <t>판매가 (1인)</t>
        </is>
      </c>
      <c r="C10" s="25" t="n">
        <v>4265</v>
      </c>
      <c r="D10" s="25" t="n">
        <v>7440</v>
      </c>
      <c r="E10" s="25" t="n">
        <v>9165</v>
      </c>
    </row>
    <row r="11">
      <c r="A11" s="5" t="inlineStr">
        <is>
          <t>원가 (1인)</t>
        </is>
      </c>
      <c r="B11" s="13" t="inlineStr">
        <is>
          <t>원가 (1인)</t>
        </is>
      </c>
      <c r="C11" s="13" t="n">
        <v>2700</v>
      </c>
      <c r="D11" s="13" t="n">
        <v>4645</v>
      </c>
      <c r="E11" s="13" t="n">
        <v>5730</v>
      </c>
    </row>
    <row r="12">
      <c r="A12" s="5" t="inlineStr">
        <is>
          <t>순이익 (1인)</t>
        </is>
      </c>
      <c r="B12" s="26" t="inlineStr">
        <is>
          <t>순이익 (1인)</t>
        </is>
      </c>
      <c r="C12" s="27" t="n">
        <v>1565</v>
      </c>
      <c r="D12" s="27" t="n">
        <v>2795</v>
      </c>
      <c r="E12" s="27" t="n">
        <v>3435</v>
      </c>
    </row>
    <row r="13">
      <c r="A13" s="5" t="inlineStr">
        <is>
          <t>마진율</t>
        </is>
      </c>
      <c r="B13" s="13" t="inlineStr">
        <is>
          <t>마진율</t>
        </is>
      </c>
      <c r="C13" s="17" t="n">
        <v>0.3669402110199297</v>
      </c>
      <c r="D13" s="17" t="n">
        <v>0.3756720430107527</v>
      </c>
      <c r="E13" s="17" t="n">
        <v>0.3747954173486088</v>
      </c>
    </row>
    <row r="14">
      <c r="A14" s="5" t="inlineStr"/>
      <c r="B14" s="13" t="inlineStr"/>
      <c r="C14" s="13" t="inlineStr"/>
      <c r="D14" s="13" t="inlineStr"/>
      <c r="E14" s="13" t="inlineStr"/>
    </row>
    <row r="15">
      <c r="A15" s="5" t="inlineStr">
        <is>
          <t>4인팀 판매가</t>
        </is>
      </c>
      <c r="B15" s="13" t="inlineStr">
        <is>
          <t>4인팀 판매가</t>
        </is>
      </c>
      <c r="C15" s="13" t="n">
        <v>17060</v>
      </c>
      <c r="D15" s="13" t="n">
        <v>29760</v>
      </c>
      <c r="E15" s="13" t="n">
        <v>36660</v>
      </c>
    </row>
    <row r="16">
      <c r="A16" s="5" t="inlineStr">
        <is>
          <t>4인팀 순이익</t>
        </is>
      </c>
      <c r="B16" s="26" t="inlineStr">
        <is>
          <t>4인팀 순이익</t>
        </is>
      </c>
      <c r="C16" s="27" t="n">
        <v>6260</v>
      </c>
      <c r="D16" s="27" t="n">
        <v>11180</v>
      </c>
      <c r="E16" s="27" t="n">
        <v>13740</v>
      </c>
    </row>
    <row r="17">
      <c r="A17" s="5" t="inlineStr"/>
      <c r="B17" s="13" t="inlineStr"/>
      <c r="C17" s="13" t="inlineStr"/>
      <c r="D17" s="13" t="inlineStr"/>
      <c r="E17" s="13" t="inlineStr"/>
    </row>
    <row r="18">
      <c r="A18" s="5" t="inlineStr">
        <is>
          <t>타겟고객</t>
        </is>
      </c>
      <c r="B18" s="13" t="inlineStr">
        <is>
          <t>타겟고객</t>
        </is>
      </c>
      <c r="C18" s="13" t="inlineStr">
        <is>
          <t>비즈니스 숏트립</t>
        </is>
      </c>
      <c r="D18" s="13" t="inlineStr">
        <is>
          <t>핵심 추천 패키지</t>
        </is>
      </c>
      <c r="E18" s="13" t="inlineStr">
        <is>
          <t>풀패키지 프리미엄</t>
        </is>
      </c>
    </row>
    <row r="19">
      <c r="A19" s="5" t="inlineStr">
        <is>
          <t>차별화</t>
        </is>
      </c>
      <c r="B19" s="13" t="inlineStr">
        <is>
          <t>차별화</t>
        </is>
      </c>
      <c r="C19" s="13" t="inlineStr">
        <is>
          <t>짧고 강렬한 프리미엄</t>
        </is>
      </c>
      <c r="D19" s="13" t="inlineStr">
        <is>
          <t>3대코스+Stamp+Replay</t>
        </is>
      </c>
      <c r="E19" s="13" t="inlineStr">
        <is>
          <t>5라운드 완전 몰입</t>
        </is>
      </c>
    </row>
    <row r="21">
      <c r="A21" s="3" t="inlineStr">
        <is>
          <t>📊 12종 전체 비교</t>
        </is>
      </c>
    </row>
    <row r="22">
      <c r="A22" s="4" t="inlineStr">
        <is>
          <t>No</t>
        </is>
      </c>
      <c r="B22" s="4" t="inlineStr">
        <is>
          <t>패키지</t>
        </is>
      </c>
      <c r="C22" s="4" t="inlineStr">
        <is>
          <t>일정</t>
        </is>
      </c>
      <c r="D22" s="4" t="inlineStr">
        <is>
          <t>원가</t>
        </is>
      </c>
      <c r="E22" s="4" t="inlineStr">
        <is>
          <t>판매가</t>
        </is>
      </c>
      <c r="F22" s="4" t="inlineStr">
        <is>
          <t>매출이익</t>
        </is>
      </c>
      <c r="G22" s="4" t="inlineStr">
        <is>
          <t>실질이익</t>
        </is>
      </c>
      <c r="H22" s="4" t="inlineStr">
        <is>
          <t>마진율</t>
        </is>
      </c>
    </row>
    <row r="23">
      <c r="A23" s="28" t="n">
        <v>1</v>
      </c>
      <c r="B23" s="29" t="inlineStr">
        <is>
          <t>A1 트럼프 익스클루시브</t>
        </is>
      </c>
      <c r="C23" s="28" t="inlineStr">
        <is>
          <t>3박 4일</t>
        </is>
      </c>
      <c r="D23" s="30" t="n">
        <v>2700</v>
      </c>
      <c r="E23" s="30" t="n">
        <v>4265</v>
      </c>
      <c r="F23" s="30" t="n">
        <v>1565</v>
      </c>
      <c r="G23" s="11" t="n">
        <v>1565</v>
      </c>
      <c r="H23" s="31" t="n">
        <v>0.3669402110199297</v>
      </c>
    </row>
    <row r="24">
      <c r="A24" s="32" t="n">
        <v>2</v>
      </c>
      <c r="B24" s="5" t="inlineStr">
        <is>
          <t>A2 트럼프 + 샌드파이퍼 오션뷰</t>
        </is>
      </c>
      <c r="C24" s="32" t="inlineStr">
        <is>
          <t>3박 4일</t>
        </is>
      </c>
      <c r="D24" s="6" t="n">
        <v>2620</v>
      </c>
      <c r="E24" s="6" t="n">
        <v>4010</v>
      </c>
      <c r="F24" s="6" t="n">
        <v>1390</v>
      </c>
      <c r="G24" s="16" t="n">
        <v>1390</v>
      </c>
      <c r="H24" s="33" t="n">
        <v>0.3466334164588529</v>
      </c>
    </row>
    <row r="25">
      <c r="A25" s="28" t="n">
        <v>3</v>
      </c>
      <c r="B25" s="29" t="inlineStr">
        <is>
          <t>A3 트럼프 + 히든밸리 밸리뷰</t>
        </is>
      </c>
      <c r="C25" s="28" t="inlineStr">
        <is>
          <t>3박 4일</t>
        </is>
      </c>
      <c r="D25" s="30" t="n">
        <v>2599</v>
      </c>
      <c r="E25" s="30" t="n">
        <v>3874</v>
      </c>
      <c r="F25" s="30" t="n">
        <v>1275</v>
      </c>
      <c r="G25" s="11" t="n">
        <v>1287.111111111111</v>
      </c>
      <c r="H25" s="31" t="n">
        <v>0.332243446337406</v>
      </c>
    </row>
    <row r="26">
      <c r="A26" s="32" t="n">
        <v>4</v>
      </c>
      <c r="B26" s="5" t="inlineStr">
        <is>
          <t>A4 트럼프 인텐시브 + LA관광</t>
        </is>
      </c>
      <c r="C26" s="32" t="inlineStr">
        <is>
          <t>3박 4일</t>
        </is>
      </c>
      <c r="D26" s="6" t="n">
        <v>2700</v>
      </c>
      <c r="E26" s="6" t="n">
        <v>4265</v>
      </c>
      <c r="F26" s="6" t="n">
        <v>1565</v>
      </c>
      <c r="G26" s="16" t="n">
        <v>1565</v>
      </c>
      <c r="H26" s="33" t="n">
        <v>0.3669402110199297</v>
      </c>
    </row>
    <row r="27">
      <c r="A27" s="28" t="n">
        <v>5</v>
      </c>
      <c r="B27" s="29" t="inlineStr">
        <is>
          <t>B1 트럼프 그랜드슬램</t>
        </is>
      </c>
      <c r="C27" s="28" t="inlineStr">
        <is>
          <t>5박 7일</t>
        </is>
      </c>
      <c r="D27" s="30" t="n">
        <v>4645</v>
      </c>
      <c r="E27" s="30" t="n">
        <v>7440</v>
      </c>
      <c r="F27" s="30" t="n">
        <v>2795</v>
      </c>
      <c r="G27" s="34" t="n">
        <v>2795</v>
      </c>
      <c r="H27" s="31" t="n">
        <v>0.3756720430107527</v>
      </c>
    </row>
    <row r="28">
      <c r="A28" s="32" t="n">
        <v>6</v>
      </c>
      <c r="B28" s="5" t="inlineStr">
        <is>
          <t>B2 트럼프 + 샌드파이퍼 베스트</t>
        </is>
      </c>
      <c r="C28" s="32" t="inlineStr">
        <is>
          <t>5박 7일</t>
        </is>
      </c>
      <c r="D28" s="6" t="n">
        <v>4485</v>
      </c>
      <c r="E28" s="6" t="n">
        <v>6930</v>
      </c>
      <c r="F28" s="6" t="n">
        <v>2445</v>
      </c>
      <c r="G28" s="34" t="n">
        <v>2575</v>
      </c>
      <c r="H28" s="33" t="n">
        <v>0.3715728715728716</v>
      </c>
    </row>
    <row r="29">
      <c r="A29" s="28" t="n">
        <v>7</v>
      </c>
      <c r="B29" s="29" t="inlineStr">
        <is>
          <t>B3 트럼프 + 히든밸리 시그니처</t>
        </is>
      </c>
      <c r="C29" s="28" t="inlineStr">
        <is>
          <t>5박 7일</t>
        </is>
      </c>
      <c r="D29" s="30" t="n">
        <v>4443</v>
      </c>
      <c r="E29" s="30" t="n">
        <v>6658</v>
      </c>
      <c r="F29" s="30" t="n">
        <v>2215</v>
      </c>
      <c r="G29" s="11" t="n">
        <v>2239.222222222222</v>
      </c>
      <c r="H29" s="31" t="n">
        <v>0.3363205500483962</v>
      </c>
    </row>
    <row r="30">
      <c r="A30" s="32" t="n">
        <v>8</v>
      </c>
      <c r="B30" s="5" t="inlineStr">
        <is>
          <t>B4 트럼프+샌드+히든 3색</t>
        </is>
      </c>
      <c r="C30" s="32" t="inlineStr">
        <is>
          <t>5박 7일</t>
        </is>
      </c>
      <c r="D30" s="6" t="n">
        <v>4464</v>
      </c>
      <c r="E30" s="6" t="n">
        <v>6794</v>
      </c>
      <c r="F30" s="6" t="n">
        <v>2330</v>
      </c>
      <c r="G30" s="16" t="n">
        <v>2342.111111111111</v>
      </c>
      <c r="H30" s="33" t="n">
        <v>0.3447322801164426</v>
      </c>
    </row>
    <row r="31">
      <c r="A31" s="28" t="n">
        <v>9</v>
      </c>
      <c r="B31" s="29" t="inlineStr">
        <is>
          <t>C1 트럼프 얼티밋</t>
        </is>
      </c>
      <c r="C31" s="28" t="inlineStr">
        <is>
          <t>7박 8일</t>
        </is>
      </c>
      <c r="D31" s="30" t="n">
        <v>5730</v>
      </c>
      <c r="E31" s="30" t="n">
        <v>9165</v>
      </c>
      <c r="F31" s="30" t="n">
        <v>3435</v>
      </c>
      <c r="G31" s="34" t="n">
        <v>3435</v>
      </c>
      <c r="H31" s="31" t="n">
        <v>0.3747954173486088</v>
      </c>
    </row>
    <row r="32">
      <c r="A32" s="32" t="n">
        <v>10</v>
      </c>
      <c r="B32" s="5" t="inlineStr">
        <is>
          <t>C2 트럼프+샌드파이퍼 마스터</t>
        </is>
      </c>
      <c r="C32" s="32" t="inlineStr">
        <is>
          <t>7박 8일</t>
        </is>
      </c>
      <c r="D32" s="6" t="n">
        <v>5570</v>
      </c>
      <c r="E32" s="6" t="n">
        <v>8655</v>
      </c>
      <c r="F32" s="6" t="n">
        <v>3085</v>
      </c>
      <c r="G32" s="34" t="n">
        <v>3215</v>
      </c>
      <c r="H32" s="33" t="n">
        <v>0.3714615829000578</v>
      </c>
    </row>
    <row r="33">
      <c r="A33" s="28" t="n">
        <v>11</v>
      </c>
      <c r="B33" s="29" t="inlineStr">
        <is>
          <t>C3 트럼프+히든밸리 챔피언</t>
        </is>
      </c>
      <c r="C33" s="28" t="inlineStr">
        <is>
          <t>7박 8일</t>
        </is>
      </c>
      <c r="D33" s="30" t="n">
        <v>5528</v>
      </c>
      <c r="E33" s="30" t="n">
        <v>8383</v>
      </c>
      <c r="F33" s="30" t="n">
        <v>2855</v>
      </c>
      <c r="G33" s="11" t="n">
        <v>2879.222222222222</v>
      </c>
      <c r="H33" s="31" t="n">
        <v>0.3434596471695362</v>
      </c>
    </row>
    <row r="34">
      <c r="A34" s="32" t="n">
        <v>12</v>
      </c>
      <c r="B34" s="5" t="inlineStr">
        <is>
          <t>C4 트럼프+샌드+히든 풀하우스</t>
        </is>
      </c>
      <c r="C34" s="32" t="inlineStr">
        <is>
          <t>7박 8일</t>
        </is>
      </c>
      <c r="D34" s="6" t="n">
        <v>5469</v>
      </c>
      <c r="E34" s="6" t="n">
        <v>8264</v>
      </c>
      <c r="F34" s="6" t="n">
        <v>2795</v>
      </c>
      <c r="G34" s="16" t="n">
        <v>2937.111111111111</v>
      </c>
      <c r="H34" s="33" t="n">
        <v>0.3554103474239002</v>
      </c>
    </row>
  </sheetData>
  <mergeCells count="3">
    <mergeCell ref="A3:H3"/>
    <mergeCell ref="A21:H21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2026-05-19T21:24:46Z</dcterms:created>
  <dcterms:modified xmlns:dcterms="http://purl.org/dc/terms/" xmlns:xsi="http://www.w3.org/2001/XMLSchema-instance" xsi:type="dcterms:W3CDTF">2026-05-19T21:24:46Z</dcterms:modified>
</cp:coreProperties>
</file>